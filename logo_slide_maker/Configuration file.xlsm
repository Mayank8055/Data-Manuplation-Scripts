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E:\Emulus\A-Dev\logo_slide_maker\"/>
    </mc:Choice>
  </mc:AlternateContent>
  <xr:revisionPtr revIDLastSave="0" documentId="13_ncr:1_{0BBBD241-B02A-46B0-9AF4-D4A6C8381E1C}" xr6:coauthVersionLast="47" xr6:coauthVersionMax="47" xr10:uidLastSave="{00000000-0000-0000-0000-000000000000}"/>
  <bookViews>
    <workbookView xWindow="-108" yWindow="-108" windowWidth="23256" windowHeight="12576" tabRatio="852" firstSheet="20" activeTab="29" xr2:uid="{00000000-000D-0000-FFFF-FFFF00000000}"/>
  </bookViews>
  <sheets>
    <sheet name="Report_Generator" sheetId="1" r:id="rId1"/>
    <sheet name="Deck_lvl_db" sheetId="2" r:id="rId2"/>
    <sheet name="Glossary" sheetId="3" r:id="rId3"/>
    <sheet name="Category_lvl_db" sheetId="4" r:id="rId4"/>
    <sheet name="Variables" sheetId="5" r:id="rId5"/>
    <sheet name="Chart_config" sheetId="6" r:id="rId6"/>
    <sheet name="Table_config" sheetId="7" r:id="rId7"/>
    <sheet name="Text_shape_config" sheetId="8" r:id="rId8"/>
    <sheet name="Action_config" sheetId="9" r:id="rId9"/>
    <sheet name="Slide_clone_config" sheetId="10" r:id="rId10"/>
    <sheet name="Sig_test_config" sheetId="11" r:id="rId11"/>
    <sheet name="Sig_test_char_picker (3)" sheetId="12" state="hidden" r:id="rId12"/>
    <sheet name="Sig_test_char_picker_RTD" sheetId="13" r:id="rId13"/>
    <sheet name="Sig_test_char_picker" sheetId="14" r:id="rId14"/>
    <sheet name="Sig_merge" sheetId="15" r:id="rId15"/>
    <sheet name="Control Sheet" sheetId="16" r:id="rId16"/>
    <sheet name="Mapping_Coloring" sheetId="17" r:id="rId17"/>
    <sheet name="Beast_Configs" sheetId="18" r:id="rId18"/>
    <sheet name="Data_consol_config" sheetId="19" r:id="rId19"/>
    <sheet name="Map_consl_confg_cret" sheetId="20" r:id="rId20"/>
    <sheet name="Data_consol_Replace_Mapping" sheetId="21" r:id="rId21"/>
    <sheet name="PP_find_rep" sheetId="22" r:id="rId22"/>
    <sheet name="PP_col_split" sheetId="23" r:id="rId23"/>
    <sheet name="PP_add_map" sheetId="24" r:id="rId24"/>
    <sheet name="PP_cal_data" sheetId="25" r:id="rId25"/>
    <sheet name="PP_filter_data" sheetId="26" r:id="rId26"/>
    <sheet name="Features &amp; Bugs" sheetId="27" state="hidden" r:id="rId27"/>
    <sheet name="Configuration_guide" sheetId="28" state="hidden" r:id="rId28"/>
    <sheet name="Control Sheet_Custom" sheetId="29" r:id="rId29"/>
    <sheet name="Fetch_logo" sheetId="30" r:id="rId30"/>
  </sheets>
  <functionGroups builtInGroupCount="19"/>
  <externalReferences>
    <externalReference r:id="rId31"/>
  </externalReferences>
  <definedNames>
    <definedName name="_xlnm._FilterDatabase" localSheetId="5" hidden="1">Chart_config!$A$3:$Z$3</definedName>
    <definedName name="business_contxt" localSheetId="3">OFFSET('[1]Control Sheet'!$E$2,0,0,COUNTA('[1]Control Sheet'!$E$2:$E$46),1)</definedName>
    <definedName name="business_contxt" localSheetId="1">OFFSET('[1]Control Sheet'!$E$2,0,0,COUNTA('[1]Control Sheet'!$E$2:$E$46),1)</definedName>
    <definedName name="business_contxt" localSheetId="21">OFFSET('Control Sheet'!$G$2,0,0,COUNTA('Control Sheet'!$G$2:$G$46),1)</definedName>
    <definedName name="business_contxt" localSheetId="0">OFFSET(Report_Generator!#REF!,0,0,COUNTA(Report_Generator!#REF!),1)</definedName>
    <definedName name="business_contxt" localSheetId="4">OFFSET(Variables!#REF!,0,0,COUNTA(Variables!#REF!),1)</definedName>
    <definedName name="business_contxt">OFFSET('Control Sheet'!$E$2,0,0,COUNTA('Control Sheet'!$E$2:$E$46),1)</definedName>
    <definedName name="clone_obj_count_rng">Deck_lvl_db!$H$8</definedName>
    <definedName name="Data_Files_Project_Tiger_0822" localSheetId="3">OFFSET('[1]Data &amp; Workbook_List'!$C$3,0,0,COUNTA('[1]Data &amp; Workbook_List'!$C$3:$C$319),COUNTA('[1]Data &amp; Workbook_List'!$C$3:$D$3))</definedName>
    <definedName name="Data_Files_Project_Tiger_0822" localSheetId="1">OFFSET('[1]Data &amp; Workbook_List'!$C$3,0,0,COUNTA('[1]Data &amp; Workbook_List'!$C$3:$C$319),COUNTA('[1]Data &amp; Workbook_List'!$C$3:$D$3))</definedName>
    <definedName name="Data_Files_Project_Tiger_0822">OFFSET(#REF!,0,0,COUNTA(#REF!),COUNTA(#REF!))</definedName>
    <definedName name="data_format" localSheetId="3">OFFSET('[1]Control Sheet'!$O$2,0,0,COUNTA('[1]Control Sheet'!$O$2:$O$48),1)</definedName>
    <definedName name="data_format" localSheetId="1">OFFSET('[1]Control Sheet'!$O$2,0,0,COUNTA('[1]Control Sheet'!$O$2:$O$48),1)</definedName>
    <definedName name="data_format">OFFSET('Control Sheet'!$O$2,0,0,COUNTA('Control Sheet'!$O$2:$O$48),1)</definedName>
    <definedName name="data_sources_Chart" localSheetId="3">OFFSET('[1]Control Sheet'!$A$3,0,0,COUNTA('[1]Control Sheet'!$A$3:$A$46),1)</definedName>
    <definedName name="data_sources_Chart" localSheetId="1">OFFSET('[1]Control Sheet'!$A$3,0,0,COUNTA('[1]Control Sheet'!$A$3:$A$46),1)</definedName>
    <definedName name="data_sources_Chart" localSheetId="0">OFFSET(Report_Generator!#REF!,0,0,COUNTA(Report_Generator!#REF!),1)</definedName>
    <definedName name="data_sources_Chart" localSheetId="4">OFFSET(Variables!#REF!,0,0,COUNTA(Variables!#REF!),1)</definedName>
    <definedName name="data_sources_Chart">OFFSET('Control Sheet'!$A$3,0,0,COUNTA('Control Sheet'!$A$3:$A$46),1)</definedName>
    <definedName name="data_sources_Table" localSheetId="3">OFFSET('[1]Control Sheet'!$C$3,0,0,COUNTA('[1]Control Sheet'!$C$3:$C$46),1)</definedName>
    <definedName name="data_sources_Table" localSheetId="1">OFFSET('[1]Control Sheet'!$C$3,0,0,COUNTA('[1]Control Sheet'!$C$3:$C$46),1)</definedName>
    <definedName name="data_sources_Table">OFFSET('Control Sheet'!$C$3,0,0,COUNTA('Control Sheet'!$C$3:$C$46),1)</definedName>
    <definedName name="data_sources_Text" localSheetId="3">OFFSET('[1]Control Sheet'!$B$3,0,0,COUNTA('[1]Control Sheet'!$B$3:$B$46),1)</definedName>
    <definedName name="data_sources_Text" localSheetId="1">OFFSET('[1]Control Sheet'!$B$3,0,0,COUNTA('[1]Control Sheet'!$B$3:$B$46),1)</definedName>
    <definedName name="data_sources_Text" localSheetId="21">OFFSET('Control Sheet'!$D$3,0,0,COUNTA('Control Sheet'!$D$3:$D$46),1)</definedName>
    <definedName name="data_sources_Text" localSheetId="0">OFFSET(Report_Generator!#REF!,0,0,COUNTA(Report_Generator!#REF!),1)</definedName>
    <definedName name="data_sources_Text" localSheetId="4">OFFSET(Variables!#REF!,0,0,COUNTA(Variables!#REF!),1)</definedName>
    <definedName name="data_sources_Text">OFFSET('Control Sheet'!$B$3,0,0,COUNTA('Control Sheet'!$B$3:$B$46),1)</definedName>
    <definedName name="Exception_Worksheet_List_Project_Tiger_0822" localSheetId="3">'[1]Data &amp; Workbook_List'!$R:$T</definedName>
    <definedName name="Exception_Worksheet_List_Project_Tiger_0822" localSheetId="1">'[1]Data &amp; Workbook_List'!$R:$T</definedName>
    <definedName name="Exception_Worksheet_List_Project_Tiger_0822">#REF!</definedName>
    <definedName name="grp_agg" localSheetId="3">'[1]Control Sheet'!$Q$2:$Q$6</definedName>
    <definedName name="grp_agg" localSheetId="1">'[1]Control Sheet'!$Q$2:$Q$6</definedName>
    <definedName name="grp_agg">'Control Sheet'!$Q$2:$Q$6</definedName>
    <definedName name="lst_catgry">OFFSET(Category_lvl_db!$A$1,0,3,1,COUNTA(Category_lvl_db!$1:$1)-3)</definedName>
    <definedName name="obj_chart_func" localSheetId="3">OFFSET('[1]Control Sheet'!$S$2,0,0,COUNTA('[1]Control Sheet'!$S$2:$S$46),1)</definedName>
    <definedName name="obj_chart_func" localSheetId="1">OFFSET('[1]Control Sheet'!$S$2,0,0,COUNTA('[1]Control Sheet'!$S$2:$S$46),1)</definedName>
    <definedName name="obj_chart_func">OFFSET('Control Sheet'!$S$2,0,0,COUNTA('Control Sheet'!$S$2:$S$46),1)</definedName>
    <definedName name="obj_shape_func" localSheetId="3">OFFSET('[1]Control Sheet'!$U$2,0,0,COUNTA('[1]Control Sheet'!$U$2:$U$46),1)</definedName>
    <definedName name="obj_shape_func" localSheetId="1">OFFSET('[1]Control Sheet'!$U$2,0,0,COUNTA('[1]Control Sheet'!$U$2:$U$46),1)</definedName>
    <definedName name="obj_shape_func">OFFSET('Control Sheet'!$U$2,0,0,COUNTA('Control Sheet'!$U$2:$U$46),1)</definedName>
    <definedName name="obj_tbl_funct" localSheetId="3">OFFSET('[1]Control Sheet'!$W$2,0,0,COUNTA('[1]Control Sheet'!$W$2:$W$46),1)</definedName>
    <definedName name="obj_tbl_funct" localSheetId="1">OFFSET('[1]Control Sheet'!$W$2,0,0,COUNTA('[1]Control Sheet'!$W$2:$W$46),1)</definedName>
    <definedName name="obj_tbl_funct">OFFSET('Control Sheet'!$W$2,0,0,COUNTA('Control Sheet'!$W$2:$W$46),1)</definedName>
    <definedName name="obj_type_Chart" localSheetId="3">OFFSET('[1]Control Sheet'!$G$3,0,0,COUNTA('[1]Control Sheet'!$G$3:$G$46),1)</definedName>
    <definedName name="obj_type_Chart" localSheetId="1">OFFSET('[1]Control Sheet'!$G$3,0,0,COUNTA('[1]Control Sheet'!$G$3:$G$46),1)</definedName>
    <definedName name="obj_type_Chart" localSheetId="21">OFFSET('Control Sheet'!$I$3,0,0,COUNTA('Control Sheet'!$I$3:$I$46),1)</definedName>
    <definedName name="obj_type_Chart" localSheetId="0">OFFSET(Report_Generator!#REF!,0,0,COUNTA(Report_Generator!#REF!),1)</definedName>
    <definedName name="obj_type_Chart" localSheetId="4">OFFSET(Variables!#REF!,0,0,COUNTA(Variables!#REF!),1)</definedName>
    <definedName name="obj_type_Chart">OFFSET('Control Sheet'!$G$3,0,0,COUNTA('Control Sheet'!$G$3:$G$46),1)</definedName>
    <definedName name="obj_type_chart_">OFFSET(#REF!,0,0,COUNTA(#REF!),1)</definedName>
    <definedName name="obj_type_Table" localSheetId="3">OFFSET('[1]Control Sheet'!$I$3,0,0,COUNTA('[1]Control Sheet'!$I$3:$I$46),1)</definedName>
    <definedName name="obj_type_Table" localSheetId="1">OFFSET('[1]Control Sheet'!$I$3,0,0,COUNTA('[1]Control Sheet'!$I$3:$I$46),1)</definedName>
    <definedName name="obj_type_Table">OFFSET('Control Sheet'!$I$3,0,0,COUNTA('Control Sheet'!$I$3:$I$46),1)</definedName>
    <definedName name="obj_type_Text" localSheetId="3">OFFSET('[1]Control Sheet'!$H$3,0,0,COUNTA('[1]Control Sheet'!$H$3:$H$46),1)</definedName>
    <definedName name="obj_type_Text" localSheetId="1">OFFSET('[1]Control Sheet'!$H$3,0,0,COUNTA('[1]Control Sheet'!$H$3:$H$46),1)</definedName>
    <definedName name="obj_type_Text" localSheetId="21">OFFSET('Control Sheet'!$J$3,0,0,COUNTA('Control Sheet'!$J$3:$J$46),1)</definedName>
    <definedName name="obj_type_Text" localSheetId="0">OFFSET(Report_Generator!#REF!,0,0,COUNTA(Report_Generator!#REF!),1)</definedName>
    <definedName name="obj_type_Text" localSheetId="4">OFFSET(Variables!#REF!,0,0,COUNTA(Variables!#REF!),1)</definedName>
    <definedName name="obj_type_Text">OFFSET('Control Sheet'!$H$3,0,0,COUNTA('Control Sheet'!$H$3:$H$46),1)</definedName>
    <definedName name="text_obj_shape_color" localSheetId="3">OFFSET('[1]Control Sheet'!$L$3,0,0,COUNTA('[1]Control Sheet'!$L$2:$L$46)-1,1)</definedName>
    <definedName name="text_obj_shape_color" localSheetId="1">OFFSET('[1]Control Sheet'!$L$3,0,0,COUNTA('[1]Control Sheet'!$L$2:$L$46)-1,1)</definedName>
    <definedName name="text_obj_shape_color" localSheetId="21">OFFSET('Control Sheet'!$N$3,0,0,COUNTA('Control Sheet'!$N$2:$N$46)-1,1)</definedName>
    <definedName name="text_obj_shape_color" localSheetId="0">OFFSET(Report_Generator!#REF!,0,0,COUNTA(Report_Generator!#REF!)-1,1)</definedName>
    <definedName name="text_obj_shape_color" localSheetId="4">OFFSET(Variables!#REF!,0,0,COUNTA(Variables!#REF!)-1,1)</definedName>
    <definedName name="text_obj_shape_color">OFFSET('Control Sheet'!$L$3,0,0,COUNTA('Control Sheet'!$L$2:$L$46)-1,1)</definedName>
    <definedName name="text_shape_position" localSheetId="3">OFFSET('[1]Control Sheet'!$M$3,0,0,COUNTA('[1]Control Sheet'!$M$2:$M$46)-1,1)</definedName>
    <definedName name="text_shape_position" localSheetId="1">OFFSET('[1]Control Sheet'!$M$3,0,0,COUNTA('[1]Control Sheet'!$M$2:$M$46)-1,1)</definedName>
    <definedName name="text_shape_position" localSheetId="21">OFFSET('Control Sheet'!$O$3,0,0,COUNTA('Control Sheet'!$O$2:$O$48)-1,1)</definedName>
    <definedName name="text_shape_position" localSheetId="0">OFFSET(Report_Generator!#REF!,0,0,COUNTA(Report_Generator!#REF!)-1,1)</definedName>
    <definedName name="text_shape_position" localSheetId="4">OFFSET(Variables!#REF!,0,0,COUNTA(Variables!#REF!)-1,1)</definedName>
    <definedName name="text_shape_position">OFFSET('Control Sheet'!$M$3,0,0,COUNTA('Control Sheet'!$M$2:$M$46)-1,1)</definedName>
    <definedName name="text_shape_text_type" localSheetId="3">OFFSET('[1]Control Sheet'!$K$3,0,0,COUNTA('[1]Control Sheet'!$K$2:$K$46)-1,1)</definedName>
    <definedName name="text_shape_text_type" localSheetId="1">OFFSET('[1]Control Sheet'!$K$3,0,0,COUNTA('[1]Control Sheet'!$K$2:$K$46)-1,1)</definedName>
    <definedName name="text_shape_text_type" localSheetId="21">OFFSET('Control Sheet'!$M$3,0,0,COUNTA('Control Sheet'!$M$2:$M$46)-1,1)</definedName>
    <definedName name="text_shape_text_type" localSheetId="0">OFFSET(Report_Generator!#REF!,0,0,COUNTA(Report_Generator!#REF!)-1,1)</definedName>
    <definedName name="text_shape_text_type" localSheetId="4">OFFSET(Variables!#REF!,0,0,COUNTA(Variables!#REF!)-1,1)</definedName>
    <definedName name="text_shape_text_type">OFFSET('Control Sheet'!$K$3,0,0,COUNTA('Control Sheet'!$K$2:$K$46)-1,1)</definedName>
    <definedName name="Workbook_name" localSheetId="3">OFFSET('[1]Control Sheet'!$Y$2,0,0,COUNTA('[1]Control Sheet'!$Y$2:$Y$46),1)</definedName>
    <definedName name="Workbook_name" localSheetId="1">OFFSET('[1]Control Sheet'!$Y$2,0,0,COUNTA('[1]Control Sheet'!$Y$2:$Y$46),1)</definedName>
    <definedName name="Workbook_name">OFFSET('Control Sheet'!$Y$2,0,0,COUNTA('Control Sheet'!$Y$2:$Y$46),1)</definedName>
    <definedName name="Worksheet_Names_Project_TIger_0822" localSheetId="3">OFFSET('[1]Data &amp; Workbook_List'!$N$2,0,0,COUNTA('[1]Data &amp; Workbook_List'!$N$3:$N$1048576),COUNTA('[1]Data &amp; Workbook_List'!$N$2:$P$2))</definedName>
    <definedName name="Worksheet_Names_Project_TIger_0822" localSheetId="1">OFFSET('[1]Data &amp; Workbook_List'!$N$2,0,0,COUNTA('[1]Data &amp; Workbook_List'!$N$3:$N$1048576),COUNTA('[1]Data &amp; Workbook_List'!$N$2:$P$2))</definedName>
    <definedName name="Worksheet_Names_Project_TIger_0822">OFFSET(#REF!,0,0,COUNTA(#REF!),COUNTA(#REF!))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5" l="1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4" i="10"/>
  <c r="C163" i="10"/>
  <c r="C162" i="10"/>
  <c r="C161" i="10"/>
  <c r="C160" i="10"/>
  <c r="C159" i="10"/>
  <c r="C158" i="10"/>
  <c r="C157" i="10"/>
  <c r="C156" i="10"/>
  <c r="C155" i="10"/>
  <c r="C153" i="10"/>
  <c r="C152" i="10"/>
  <c r="C151" i="10"/>
  <c r="C150" i="10"/>
  <c r="C149" i="10"/>
  <c r="C148" i="10"/>
  <c r="C147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138" i="8"/>
  <c r="C137" i="8"/>
  <c r="C136" i="8"/>
  <c r="C135" i="8"/>
  <c r="C134" i="8"/>
  <c r="C133" i="8"/>
  <c r="C132" i="8"/>
  <c r="C131" i="8"/>
  <c r="C130" i="8"/>
  <c r="C129" i="8"/>
  <c r="C128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1" i="8"/>
  <c r="C90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0" i="8"/>
  <c r="C59" i="8"/>
  <c r="C58" i="8"/>
  <c r="C57" i="8"/>
  <c r="C56" i="8"/>
  <c r="C55" i="8"/>
  <c r="C51" i="8"/>
  <c r="C50" i="8"/>
  <c r="C49" i="8"/>
  <c r="C48" i="8"/>
  <c r="C47" i="8"/>
  <c r="C46" i="8"/>
  <c r="C42" i="8"/>
  <c r="C41" i="8"/>
  <c r="C40" i="8"/>
  <c r="C39" i="8"/>
  <c r="C38" i="8"/>
  <c r="C30" i="8"/>
  <c r="C29" i="8"/>
  <c r="C28" i="8"/>
  <c r="C27" i="8"/>
  <c r="C26" i="8"/>
  <c r="C25" i="8"/>
  <c r="C24" i="8"/>
  <c r="C23" i="8"/>
  <c r="C22" i="8"/>
  <c r="C21" i="8"/>
  <c r="C20" i="8"/>
  <c r="C19" i="8"/>
  <c r="C11" i="8"/>
  <c r="C10" i="8"/>
  <c r="C9" i="8"/>
  <c r="C8" i="8"/>
  <c r="C7" i="8"/>
  <c r="C6" i="8"/>
  <c r="C5" i="8"/>
  <c r="C4" i="8"/>
  <c r="C53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8" i="7"/>
  <c r="C7" i="7"/>
  <c r="C6" i="7"/>
  <c r="C5" i="7"/>
  <c r="C4" i="7"/>
  <c r="C73" i="6"/>
  <c r="C70" i="6"/>
  <c r="C69" i="6"/>
  <c r="C68" i="6"/>
  <c r="C67" i="6"/>
  <c r="C66" i="6"/>
  <c r="C65" i="6"/>
  <c r="C63" i="6"/>
  <c r="C62" i="6"/>
  <c r="C61" i="6"/>
  <c r="C60" i="6"/>
  <c r="C59" i="6"/>
  <c r="C58" i="6"/>
  <c r="C57" i="6"/>
  <c r="C56" i="6"/>
  <c r="C55" i="6"/>
  <c r="C54" i="6"/>
  <c r="C53" i="6"/>
  <c r="C52" i="6"/>
  <c r="C50" i="6"/>
  <c r="C49" i="6"/>
  <c r="C48" i="6"/>
  <c r="C47" i="6"/>
  <c r="C46" i="6"/>
  <c r="C37" i="6"/>
  <c r="C36" i="6"/>
  <c r="C35" i="6"/>
  <c r="C34" i="6"/>
  <c r="C33" i="6"/>
  <c r="C32" i="6"/>
  <c r="C31" i="6"/>
  <c r="C30" i="6"/>
  <c r="C28" i="6"/>
  <c r="C27" i="6"/>
  <c r="C26" i="6"/>
  <c r="C25" i="6"/>
  <c r="C23" i="6"/>
  <c r="C22" i="6"/>
  <c r="C21" i="6"/>
  <c r="C20" i="6"/>
  <c r="C19" i="6"/>
  <c r="C18" i="6"/>
  <c r="C17" i="6"/>
  <c r="C16" i="6"/>
  <c r="C15" i="6"/>
  <c r="C14" i="6"/>
  <c r="C13" i="6"/>
  <c r="C12" i="6"/>
  <c r="C9" i="6"/>
  <c r="C8" i="6"/>
  <c r="C7" i="6"/>
  <c r="C6" i="6"/>
  <c r="C5" i="6"/>
  <c r="C4" i="6"/>
  <c r="G210" i="10" a="1"/>
  <c r="H5" i="2" a="1"/>
  <c r="G21" i="10" a="1"/>
  <c r="G125" i="10" a="1"/>
  <c r="G87" i="10" a="1"/>
  <c r="I2" i="2" a="1"/>
  <c r="G199" i="10" a="1"/>
  <c r="G155" i="10" a="1"/>
  <c r="G131" i="10" a="1"/>
  <c r="G90" i="10" a="1"/>
  <c r="G168" i="10" a="1"/>
  <c r="G171" i="10" a="1"/>
  <c r="G39" i="10" a="1"/>
  <c r="G11" i="10" a="1"/>
  <c r="G54" i="10" a="1"/>
  <c r="G130" i="10" a="1"/>
  <c r="G111" i="10" a="1"/>
  <c r="G167" i="10" a="1"/>
  <c r="G25" i="10" a="1"/>
  <c r="G124" i="10" a="1"/>
  <c r="G73" i="10" a="1"/>
  <c r="G71" i="10" a="1"/>
  <c r="G213" i="10" a="1"/>
  <c r="G122" i="10" a="1"/>
  <c r="G173" i="10" a="1"/>
  <c r="G206" i="10" a="1"/>
  <c r="G156" i="10" a="1"/>
  <c r="G12" i="10" a="1"/>
  <c r="G158" i="10" a="1"/>
  <c r="G209" i="10" a="1"/>
  <c r="G13" i="10" a="1"/>
  <c r="G177" i="10" a="1"/>
  <c r="G48" i="10" a="1"/>
  <c r="G109" i="10" a="1"/>
  <c r="G67" i="10" a="1"/>
  <c r="G117" i="10" a="1"/>
  <c r="G97" i="10" a="1"/>
  <c r="G28" i="10" a="1"/>
  <c r="G214" i="10" a="1"/>
  <c r="G170" i="10" a="1"/>
  <c r="H4" i="2" a="1"/>
  <c r="G18" i="10" a="1"/>
  <c r="G186" i="10" a="1"/>
  <c r="H2" i="2" a="1"/>
  <c r="G40" i="10" a="1"/>
  <c r="G202" i="10" a="1"/>
  <c r="G118" i="10" a="1"/>
  <c r="G114" i="10" a="1"/>
  <c r="G176" i="10" a="1"/>
  <c r="G92" i="10" a="1"/>
  <c r="G172" i="10" a="1"/>
  <c r="G91" i="10" a="1"/>
  <c r="G132" i="10" a="1"/>
  <c r="G72" i="10" a="1"/>
  <c r="G198" i="10" a="1"/>
  <c r="G7" i="10" a="1"/>
  <c r="G26" i="10" a="1"/>
  <c r="G105" i="10" a="1"/>
  <c r="G203" i="10" a="1"/>
  <c r="G86" i="10" a="1"/>
  <c r="G204" i="10" a="1"/>
  <c r="G188" i="10" a="1"/>
  <c r="G34" i="10" a="1"/>
  <c r="G49" i="10" a="1"/>
  <c r="G98" i="10" a="1"/>
  <c r="G201" i="10" a="1"/>
  <c r="G99" i="10" a="1"/>
  <c r="G116" i="10" a="1"/>
  <c r="G6" i="10" a="1"/>
  <c r="G69" i="10" a="1"/>
  <c r="G89" i="10" a="1"/>
  <c r="G102" i="10" a="1"/>
  <c r="G4" i="10" a="1"/>
  <c r="G123" i="10" a="1"/>
  <c r="G166" i="10" a="1"/>
  <c r="G14" i="10" a="1"/>
  <c r="G103" i="10" a="1"/>
  <c r="G157" i="10" a="1"/>
  <c r="G47" i="10" a="1"/>
  <c r="G93" i="10" a="1"/>
  <c r="G200" i="10" a="1"/>
  <c r="G20" i="10" a="1"/>
  <c r="G147" i="10" a="1"/>
  <c r="G129" i="10" a="1"/>
  <c r="G66" i="10" a="1"/>
  <c r="G88" i="10" a="1"/>
  <c r="G159" i="10" a="1"/>
  <c r="G101" i="10" a="1"/>
  <c r="H3" i="2" a="1"/>
  <c r="G207" i="10" a="1"/>
  <c r="G113" i="10" a="1"/>
  <c r="G70" i="10" a="1"/>
  <c r="G65" i="10" a="1"/>
  <c r="G32" i="10" a="1"/>
  <c r="G52" i="10" a="1"/>
  <c r="G119" i="10" a="1"/>
  <c r="G189" i="10" a="1"/>
  <c r="G174" i="10" a="1"/>
  <c r="G95" i="10" a="1"/>
  <c r="G53" i="10" a="1"/>
  <c r="G108" i="10" a="1"/>
  <c r="G127" i="10" a="1"/>
  <c r="G205" i="10" a="1"/>
  <c r="G208" i="10" a="1"/>
  <c r="G85" i="10" a="1"/>
  <c r="G169" i="10" a="1"/>
  <c r="G35" i="10" a="1"/>
  <c r="G211" i="10" a="1"/>
  <c r="G41" i="10" a="1"/>
  <c r="G50" i="10" a="1"/>
  <c r="G9" i="10" a="1"/>
  <c r="G8" i="10" a="1"/>
  <c r="G96" i="10" a="1"/>
  <c r="G197" i="10" a="1"/>
  <c r="G110" i="10" a="1"/>
  <c r="G126" i="10" a="1"/>
  <c r="G51" i="10" a="1"/>
  <c r="G42" i="10" a="1"/>
  <c r="G33" i="10" a="1"/>
  <c r="G27" i="10" a="1"/>
  <c r="G185" i="10" a="1"/>
  <c r="G115" i="10" a="1"/>
  <c r="G104" i="10" a="1"/>
  <c r="G212" i="10" a="1"/>
  <c r="G68" i="10" a="1"/>
  <c r="G190" i="10" a="1"/>
  <c r="G175" i="10" a="1"/>
  <c r="G46" i="10" a="1"/>
  <c r="G5" i="10" a="1"/>
  <c r="G84" i="10" a="1"/>
  <c r="G107" i="10" a="1"/>
  <c r="G187" i="10" a="1"/>
  <c r="G128" i="10" a="1"/>
  <c r="I3" i="2" a="1"/>
  <c r="G120" i="10" a="1"/>
  <c r="G19" i="10" a="1"/>
  <c r="F37" i="5" a="1"/>
  <c r="F53" i="5" a="1"/>
  <c r="F54" i="5" a="1"/>
  <c r="F36" i="5" a="1"/>
  <c r="F46" i="5" a="1"/>
  <c r="F15" i="5" a="1"/>
  <c r="F20" i="5" a="1"/>
  <c r="F44" i="5" a="1"/>
  <c r="F23" i="5" a="1"/>
  <c r="F21" i="5" a="1"/>
  <c r="F31" i="5" a="1"/>
  <c r="F29" i="5" a="1"/>
  <c r="F25" i="5" a="1"/>
  <c r="F57" i="5" a="1"/>
  <c r="F58" i="5" a="1"/>
  <c r="F48" i="5" a="1"/>
  <c r="M1" i="5" a="1"/>
  <c r="F11" i="5" a="1"/>
  <c r="F6" i="5" a="1"/>
  <c r="F35" i="5" a="1"/>
  <c r="F55" i="5" a="1"/>
  <c r="F22" i="5" a="1"/>
  <c r="F18" i="5" a="1"/>
  <c r="F30" i="5" a="1"/>
  <c r="F51" i="5" a="1"/>
  <c r="F8" i="5" a="1"/>
  <c r="F17" i="5" a="1"/>
  <c r="F9" i="5" a="1"/>
  <c r="F47" i="5" a="1"/>
  <c r="F39" i="5" a="1"/>
  <c r="F26" i="5" a="1"/>
  <c r="F33" i="5" a="1"/>
  <c r="F12" i="5" a="1"/>
  <c r="F41" i="5" a="1"/>
  <c r="F40" i="5" a="1"/>
  <c r="F7" i="5" a="1"/>
  <c r="F49" i="5" a="1"/>
  <c r="F28" i="5" a="1"/>
  <c r="F42" i="5" a="1"/>
  <c r="F10" i="5" a="1"/>
  <c r="F27" i="5" a="1"/>
  <c r="F34" i="5" a="1"/>
  <c r="F45" i="5" a="1"/>
  <c r="F52" i="5" a="1"/>
  <c r="F50" i="5" a="1"/>
  <c r="F32" i="5" a="1"/>
  <c r="F13" i="5" a="1"/>
  <c r="F56" i="5" a="1"/>
  <c r="F5" i="5" a="1"/>
  <c r="F14" i="5" a="1"/>
  <c r="F38" i="5" a="1"/>
  <c r="F16" i="5" a="1"/>
  <c r="F19" i="5" a="1"/>
  <c r="F43" i="5" a="1"/>
  <c r="F24" i="5" a="1"/>
  <c r="I1" i="5" a="1"/>
  <c r="G131" i="10" l="1"/>
  <c r="G130" i="10"/>
  <c r="G129" i="10"/>
  <c r="G132" i="10"/>
  <c r="G128" i="10"/>
  <c r="G127" i="10"/>
  <c r="G98" i="10"/>
  <c r="G28" i="10"/>
  <c r="H2" i="2"/>
  <c r="G6" i="10"/>
  <c r="G9" i="10"/>
  <c r="G33" i="10"/>
  <c r="G37" i="10" s="1"/>
  <c r="G46" i="10"/>
  <c r="G55" i="10" s="1"/>
  <c r="G49" i="10"/>
  <c r="G58" i="10" s="1"/>
  <c r="G52" i="10"/>
  <c r="G61" i="10" s="1"/>
  <c r="G67" i="10"/>
  <c r="G76" i="10" s="1"/>
  <c r="G110" i="10"/>
  <c r="G114" i="10"/>
  <c r="G117" i="10"/>
  <c r="G120" i="10"/>
  <c r="G168" i="10"/>
  <c r="G180" i="10" s="1"/>
  <c r="G172" i="10"/>
  <c r="G199" i="10"/>
  <c r="G205" i="10"/>
  <c r="G209" i="10"/>
  <c r="G70" i="10"/>
  <c r="G79" i="10" s="1"/>
  <c r="G91" i="10"/>
  <c r="G155" i="10"/>
  <c r="G160" i="10" s="1"/>
  <c r="G202" i="10"/>
  <c r="I2" i="2"/>
  <c r="G13" i="10"/>
  <c r="G21" i="10"/>
  <c r="G89" i="10"/>
  <c r="G99" i="10"/>
  <c r="G103" i="10"/>
  <c r="G107" i="10"/>
  <c r="G156" i="10"/>
  <c r="G161" i="10" s="1"/>
  <c r="G175" i="10"/>
  <c r="G189" i="10"/>
  <c r="G195" i="10" s="1"/>
  <c r="G212" i="10"/>
  <c r="G41" i="10"/>
  <c r="G102" i="10"/>
  <c r="G126" i="10"/>
  <c r="G147" i="10"/>
  <c r="G158" i="10"/>
  <c r="G163" i="10" s="1"/>
  <c r="H3" i="2"/>
  <c r="G18" i="10"/>
  <c r="G22" i="10" s="1"/>
  <c r="G26" i="10"/>
  <c r="G30" i="10" s="1"/>
  <c r="G39" i="10"/>
  <c r="G43" i="10" s="1"/>
  <c r="G42" i="10"/>
  <c r="G47" i="10"/>
  <c r="G56" i="10" s="1"/>
  <c r="G53" i="10"/>
  <c r="G62" i="10" s="1"/>
  <c r="G65" i="10"/>
  <c r="G74" i="10" s="1"/>
  <c r="G68" i="10"/>
  <c r="G77" i="10" s="1"/>
  <c r="G71" i="10"/>
  <c r="G80" i="10" s="1"/>
  <c r="G86" i="10"/>
  <c r="G92" i="10"/>
  <c r="G96" i="10"/>
  <c r="G115" i="10"/>
  <c r="G124" i="10"/>
  <c r="G159" i="10"/>
  <c r="G164" i="10" s="1"/>
  <c r="G166" i="10"/>
  <c r="G178" i="10" s="1"/>
  <c r="G169" i="10"/>
  <c r="G181" i="10" s="1"/>
  <c r="G186" i="10"/>
  <c r="G192" i="10" s="1"/>
  <c r="G200" i="10"/>
  <c r="G203" i="10"/>
  <c r="G206" i="10"/>
  <c r="G20" i="10"/>
  <c r="G88" i="10"/>
  <c r="G185" i="10"/>
  <c r="G191" i="10" s="1"/>
  <c r="I3" i="2"/>
  <c r="G4" i="10"/>
  <c r="G7" i="10"/>
  <c r="G11" i="10"/>
  <c r="G15" i="10" s="1"/>
  <c r="G34" i="10"/>
  <c r="G50" i="10"/>
  <c r="G59" i="10" s="1"/>
  <c r="G108" i="10"/>
  <c r="G111" i="10"/>
  <c r="G118" i="10"/>
  <c r="G173" i="10"/>
  <c r="G190" i="10"/>
  <c r="G196" i="10" s="1"/>
  <c r="G210" i="10"/>
  <c r="G25" i="10"/>
  <c r="G29" i="10" s="1"/>
  <c r="G73" i="10"/>
  <c r="G82" i="10" s="1"/>
  <c r="G95" i="10"/>
  <c r="G188" i="10"/>
  <c r="G194" i="10" s="1"/>
  <c r="G14" i="10"/>
  <c r="G19" i="10"/>
  <c r="G23" i="10" s="1"/>
  <c r="G27" i="10"/>
  <c r="G72" i="10"/>
  <c r="G81" i="10" s="1"/>
  <c r="G87" i="10"/>
  <c r="G90" i="10"/>
  <c r="G93" i="10"/>
  <c r="G97" i="10"/>
  <c r="G101" i="10"/>
  <c r="G104" i="10"/>
  <c r="G122" i="10"/>
  <c r="G157" i="10"/>
  <c r="G162" i="10" s="1"/>
  <c r="G170" i="10"/>
  <c r="G182" i="10" s="1"/>
  <c r="G176" i="10"/>
  <c r="G197" i="10"/>
  <c r="G201" i="10"/>
  <c r="G207" i="10"/>
  <c r="G213" i="10"/>
  <c r="H4" i="2"/>
  <c r="G5" i="10"/>
  <c r="G32" i="10"/>
  <c r="G36" i="10" s="1"/>
  <c r="G35" i="10"/>
  <c r="G40" i="10"/>
  <c r="G44" i="10" s="1"/>
  <c r="G48" i="10"/>
  <c r="G57" i="10" s="1"/>
  <c r="G51" i="10"/>
  <c r="G60" i="10" s="1"/>
  <c r="G54" i="10"/>
  <c r="G63" i="10" s="1"/>
  <c r="G66" i="10"/>
  <c r="G75" i="10" s="1"/>
  <c r="G69" i="10"/>
  <c r="G78" i="10" s="1"/>
  <c r="G84" i="10"/>
  <c r="G109" i="10"/>
  <c r="G116" i="10"/>
  <c r="G125" i="10"/>
  <c r="G167" i="10"/>
  <c r="G179" i="10" s="1"/>
  <c r="G187" i="10"/>
  <c r="G193" i="10" s="1"/>
  <c r="G204" i="10"/>
  <c r="G85" i="10"/>
  <c r="G123" i="10"/>
  <c r="H5" i="2"/>
  <c r="G8" i="10"/>
  <c r="G12" i="10"/>
  <c r="G16" i="10" s="1"/>
  <c r="G105" i="10"/>
  <c r="G113" i="10"/>
  <c r="G119" i="10"/>
  <c r="G171" i="10"/>
  <c r="G183" i="10" s="1"/>
  <c r="G174" i="10"/>
  <c r="G177" i="10"/>
  <c r="G198" i="10"/>
  <c r="G208" i="10"/>
  <c r="G211" i="10"/>
  <c r="G214" i="10"/>
  <c r="M1" i="5"/>
  <c r="F8" i="5"/>
  <c r="F16" i="5"/>
  <c r="F24" i="5"/>
  <c r="F32" i="5"/>
  <c r="F40" i="5"/>
  <c r="F48" i="5"/>
  <c r="F56" i="5"/>
  <c r="F5" i="5"/>
  <c r="F9" i="5"/>
  <c r="F13" i="5"/>
  <c r="F17" i="5"/>
  <c r="F21" i="5"/>
  <c r="F25" i="5"/>
  <c r="F29" i="5"/>
  <c r="F33" i="5"/>
  <c r="F37" i="5"/>
  <c r="F41" i="5"/>
  <c r="F45" i="5"/>
  <c r="F49" i="5"/>
  <c r="F53" i="5"/>
  <c r="F57" i="5"/>
  <c r="I1" i="5"/>
  <c r="F12" i="5"/>
  <c r="F20" i="5"/>
  <c r="F28" i="5"/>
  <c r="F36" i="5"/>
  <c r="F44" i="5"/>
  <c r="F52" i="5"/>
  <c r="F6" i="5"/>
  <c r="F10" i="5"/>
  <c r="F14" i="5"/>
  <c r="F18" i="5"/>
  <c r="F22" i="5"/>
  <c r="F26" i="5"/>
  <c r="F30" i="5"/>
  <c r="F34" i="5"/>
  <c r="F38" i="5"/>
  <c r="F42" i="5"/>
  <c r="F46" i="5"/>
  <c r="F50" i="5"/>
  <c r="F54" i="5"/>
  <c r="F58" i="5"/>
  <c r="F7" i="5"/>
  <c r="F11" i="5"/>
  <c r="F15" i="5"/>
  <c r="F19" i="5"/>
  <c r="F23" i="5"/>
  <c r="F27" i="5"/>
  <c r="F31" i="5"/>
  <c r="F35" i="5"/>
  <c r="F39" i="5"/>
  <c r="F43" i="5"/>
  <c r="F47" i="5"/>
  <c r="F51" i="5"/>
  <c r="F5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Vineet</author>
  </authors>
  <commentList>
    <comment ref="Q3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Vineet:
Price Tier: new_value=[old_value1,old_value2]|
Time period: new_value=[old_value1,old_value2]|</t>
        </r>
      </text>
    </comment>
    <comment ref="T3" authorId="0" shapeId="0" xr:uid="{00000000-0006-0000-0500-000002000000}">
      <text>
        <r>
          <rPr>
            <sz val="11"/>
            <color theme="1"/>
            <rFont val="Calibri"/>
            <family val="2"/>
            <scheme val="minor"/>
          </rPr>
          <t>Vineet:
Option1: Ascending, Descending
Option2: Custom list (Comma Seperated)</t>
        </r>
      </text>
    </comment>
    <comment ref="U3" authorId="0" shapeId="0" xr:uid="{00000000-0006-0000-0500-000003000000}">
      <text>
        <r>
          <rPr>
            <sz val="11"/>
            <color theme="1"/>
            <rFont val="Calibri"/>
            <family val="2"/>
            <scheme val="minor"/>
          </rPr>
          <t>Vineet:
Option1: Ascending, Descending
Option2: Custom list (Comma Seperated)</t>
        </r>
      </text>
    </comment>
    <comment ref="V3" authorId="0" shapeId="0" xr:uid="{00000000-0006-0000-0500-000004000000}">
      <text>
        <r>
          <rPr>
            <sz val="11"/>
            <color theme="1"/>
            <rFont val="Calibri"/>
            <family val="2"/>
            <scheme val="minor"/>
          </rPr>
          <t>Vineet:
Option1: Ascending, Descending
Option2: Custom list (Comma Seperated)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Vineet</author>
  </authors>
  <commentList>
    <comment ref="N3" authorId="0" shapeId="0" xr:uid="{00000000-0006-0000-0600-000001000000}">
      <text>
        <r>
          <rPr>
            <sz val="11"/>
            <color theme="1"/>
            <rFont val="Calibri"/>
            <family val="2"/>
            <scheme val="minor"/>
          </rPr>
          <t xml:space="preserve">Value column - Depicts the single column from which value will be picked. Use the nomencalture "Value column", only define the column name post semicolon 
(Value column:column_sales)
Data filters
Combination of column name and filters, seprated by semicolon (Country:India,China). In case of multiple column filters, use | operator (Country:India,China|Time period:Q1'2021)  </t>
        </r>
      </text>
    </comment>
    <comment ref="AB3" authorId="0" shapeId="0" xr:uid="{00000000-0006-0000-0600-000002000000}">
      <text>
        <r>
          <rPr>
            <sz val="11"/>
            <color theme="1"/>
            <rFont val="Calibri"/>
            <family val="2"/>
            <scheme val="minor"/>
          </rPr>
          <t>Vineet:
Enter the desired Hex color. How to pick?
1. Open the PPT template
2. Select the shape - Right click - Format object - Colors - More colors - under custom tab - copy Hex color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Vineet</author>
  </authors>
  <commentList>
    <comment ref="L3" authorId="0" shapeId="0" xr:uid="{00000000-0006-0000-0700-000001000000}">
      <text>
        <r>
          <rPr>
            <sz val="11"/>
            <color theme="1"/>
            <rFont val="Calibri"/>
            <family val="2"/>
            <scheme val="minor"/>
          </rPr>
          <t xml:space="preserve">Value column - Depicts the single column from which value will be picked. Use the nomencalture "Value column", only define the column name post semicolon 
(Value column:column_sales)
Data filters
Combination of column name and filters, seprated by semicolon (Country:India,China). In case of multiple column filters, use | operator (Country:India,China|Time period:Q1'2021) 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Vineet</author>
  </authors>
  <commentList>
    <comment ref="Z3" authorId="0" shapeId="0" xr:uid="{00000000-0006-0000-0A00-000001000000}">
      <text>
        <r>
          <rPr>
            <sz val="11"/>
            <color theme="1"/>
            <rFont val="Calibri"/>
            <family val="2"/>
            <scheme val="minor"/>
          </rPr>
          <t>Vineet:
Price Tier: new_value=[old_value1,old_value2]|
Time period: new_value=[old_value1,old_value2]|</t>
        </r>
      </text>
    </comment>
    <comment ref="AB3" authorId="0" shapeId="0" xr:uid="{00000000-0006-0000-0A00-000002000000}">
      <text>
        <r>
          <rPr>
            <sz val="11"/>
            <color theme="1"/>
            <rFont val="Calibri"/>
            <family val="2"/>
            <scheme val="minor"/>
          </rPr>
          <t>Vineet:
Option1: Ascending, Descending
Option2: Custom list (Comma Seperated)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Vineet</author>
  </authors>
  <commentList>
    <comment ref="P3" authorId="0" shapeId="0" xr:uid="{00000000-0006-0000-0B00-000001000000}">
      <text>
        <r>
          <rPr>
            <sz val="11"/>
            <color theme="1"/>
            <rFont val="Calibri"/>
            <family val="2"/>
            <scheme val="minor"/>
          </rPr>
          <t>Vineet:
Price Tier: new_value=[old_value1,old_value2]|
Time period: new_value=[old_value1,old_value2]|</t>
        </r>
      </text>
    </comment>
    <comment ref="R3" authorId="0" shapeId="0" xr:uid="{00000000-0006-0000-0B00-000002000000}">
      <text>
        <r>
          <rPr>
            <sz val="11"/>
            <color theme="1"/>
            <rFont val="Calibri"/>
            <family val="2"/>
            <scheme val="minor"/>
          </rPr>
          <t>Vineet:
Option1: Ascending, Descending
Option2: Custom list (Comma Seperated)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Vineet</author>
  </authors>
  <commentList>
    <comment ref="R3" authorId="0" shapeId="0" xr:uid="{00000000-0006-0000-0C00-000001000000}">
      <text>
        <r>
          <rPr>
            <sz val="11"/>
            <color theme="1"/>
            <rFont val="Calibri"/>
            <family val="2"/>
            <scheme val="minor"/>
          </rPr>
          <t>Vineet:
Price Tier: new_value=[old_value1,old_value2]|
Time period: new_value=[old_value1,old_value2]|</t>
        </r>
      </text>
    </comment>
    <comment ref="T3" authorId="0" shapeId="0" xr:uid="{00000000-0006-0000-0C00-000002000000}">
      <text>
        <r>
          <rPr>
            <sz val="11"/>
            <color theme="1"/>
            <rFont val="Calibri"/>
            <family val="2"/>
            <scheme val="minor"/>
          </rPr>
          <t>Vineet:
Option1: Ascending, Descending
Option2: Custom list (Comma Seperated)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Vineet</author>
  </authors>
  <commentList>
    <comment ref="R3" authorId="0" shapeId="0" xr:uid="{00000000-0006-0000-0D00-000001000000}">
      <text>
        <r>
          <rPr>
            <sz val="11"/>
            <color theme="1"/>
            <rFont val="Calibri"/>
            <family val="2"/>
            <scheme val="minor"/>
          </rPr>
          <t>Vineet:
Price Tier: new_value=[old_value1,old_value2]|
Time period: new_value=[old_value1,old_value2]|</t>
        </r>
      </text>
    </comment>
    <comment ref="T3" authorId="0" shapeId="0" xr:uid="{00000000-0006-0000-0D00-000002000000}">
      <text>
        <r>
          <rPr>
            <sz val="11"/>
            <color theme="1"/>
            <rFont val="Calibri"/>
            <family val="2"/>
            <scheme val="minor"/>
          </rPr>
          <t>Vineet:
Option1: Ascending, Descending
Option2: Custom list (Comma Seperated)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Aaditya Kumar</author>
  </authors>
  <commentList>
    <comment ref="A1" authorId="0" shapeId="0" xr:uid="{00000000-0006-0000-1100-000001000000}">
      <text>
        <r>
          <rPr>
            <sz val="11"/>
            <color theme="1"/>
            <rFont val="Calibri"/>
            <family val="2"/>
            <scheme val="minor"/>
          </rPr>
          <t>Aaditya Kumar:
Only the configurations with "Report" in this column will be executed. Rest will be skipped.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Aaditya Kumar</author>
  </authors>
  <commentList>
    <comment ref="A1" authorId="0" shapeId="0" xr:uid="{00000000-0006-0000-1200-000001000000}">
      <text>
        <r>
          <rPr>
            <sz val="11"/>
            <color theme="1"/>
            <rFont val="Calibri"/>
            <family val="2"/>
            <scheme val="minor"/>
          </rPr>
          <t>Aaditya Kumar:
Only the configurations with "Report" in this column will be executed. Rest will be skipped.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<sst xmlns="http://schemas.openxmlformats.org/spreadsheetml/2006/main" count="4432" uniqueCount="1408">
  <si>
    <t>Project ABInBev</t>
  </si>
  <si>
    <t>Slide ID</t>
  </si>
  <si>
    <t>Data consolidation</t>
  </si>
  <si>
    <t>Data actions</t>
  </si>
  <si>
    <t>Data validation</t>
  </si>
  <si>
    <t>Sig testing</t>
  </si>
  <si>
    <t>PPT generation</t>
  </si>
  <si>
    <t>RUN</t>
  </si>
  <si>
    <t>PP_find_rep</t>
  </si>
  <si>
    <t>Report</t>
  </si>
  <si>
    <t>KAFD</t>
  </si>
  <si>
    <t>List</t>
  </si>
  <si>
    <t>Data Column/Key</t>
  </si>
  <si>
    <t>value</t>
  </si>
  <si>
    <t>Auto Generate Variables</t>
  </si>
  <si>
    <t>UDF</t>
  </si>
  <si>
    <t>Example1</t>
  </si>
  <si>
    <t>Example2</t>
  </si>
  <si>
    <t>obj_slide</t>
  </si>
  <si>
    <t>OCTANE</t>
  </si>
  <si>
    <t>Comma_sep_lst</t>
  </si>
  <si>
    <t>Profile</t>
  </si>
  <si>
    <t>CLONE1LEVELLIST</t>
  </si>
  <si>
    <t>QUAD</t>
  </si>
  <si>
    <t>CLONE2LEVELLIST</t>
  </si>
  <si>
    <t>Comm Aware</t>
  </si>
  <si>
    <t>CLONE1LEVELLIST_RPTSTRING</t>
  </si>
  <si>
    <t>HEXA</t>
  </si>
  <si>
    <t>Mono</t>
  </si>
  <si>
    <t>CLONE1LEVELLIST(values_array,start_item,num_items,obj_slide_cnt)</t>
  </si>
  <si>
    <t>Waterfall</t>
  </si>
  <si>
    <t>PENTAGON</t>
  </si>
  <si>
    <t>NEON</t>
  </si>
  <si>
    <t>ELEV</t>
  </si>
  <si>
    <t>Data Cut</t>
  </si>
  <si>
    <t>Time Period</t>
  </si>
  <si>
    <t>Category_Metric_KPI</t>
  </si>
  <si>
    <t>Context</t>
  </si>
  <si>
    <t>Brand</t>
  </si>
  <si>
    <t>Section</t>
  </si>
  <si>
    <t>Total</t>
  </si>
  <si>
    <t>Male</t>
  </si>
  <si>
    <t>Gender</t>
  </si>
  <si>
    <t>Brand1</t>
  </si>
  <si>
    <t>Female</t>
  </si>
  <si>
    <t>Age Bands</t>
  </si>
  <si>
    <t>Brand2</t>
  </si>
  <si>
    <t>18 - 24 Years</t>
  </si>
  <si>
    <t>Unweighted Base</t>
  </si>
  <si>
    <t>PRV. Province</t>
  </si>
  <si>
    <t>Brand3</t>
  </si>
  <si>
    <t>25 - 34 Years</t>
  </si>
  <si>
    <t>50+ Years</t>
  </si>
  <si>
    <t>MHI. Monthly Household Income</t>
  </si>
  <si>
    <t>35 + Years</t>
  </si>
  <si>
    <t>SSEM_OUTPUT5. 5 Supergroup SEM output</t>
  </si>
  <si>
    <t>Eastern Cape</t>
  </si>
  <si>
    <t>ETH. Ethnic Group</t>
  </si>
  <si>
    <t>Gauteng</t>
  </si>
  <si>
    <t>Under 35 (NET)</t>
  </si>
  <si>
    <t>VAR_BREAD. Variants Bread</t>
  </si>
  <si>
    <t>KZN</t>
  </si>
  <si>
    <t>35 - 49 Years</t>
  </si>
  <si>
    <t>Customer Typology Derived</t>
  </si>
  <si>
    <t>Western Cape</t>
  </si>
  <si>
    <t>35+ (NET)</t>
  </si>
  <si>
    <t>Regular Usage Summary</t>
  </si>
  <si>
    <t>NWLPMP</t>
  </si>
  <si>
    <t>Limpopo</t>
  </si>
  <si>
    <t>Usage Interactions Network</t>
  </si>
  <si>
    <t>SEM 2-3</t>
  </si>
  <si>
    <t>Free State</t>
  </si>
  <si>
    <t>Prompted Awareness Summary</t>
  </si>
  <si>
    <t>SEM 2-4</t>
  </si>
  <si>
    <t>Mpumalanga</t>
  </si>
  <si>
    <t>Trial Summary</t>
  </si>
  <si>
    <t>SEM 5</t>
  </si>
  <si>
    <t>North West</t>
  </si>
  <si>
    <t>Most Often Usage Summary</t>
  </si>
  <si>
    <t>NWLPMP (NET)</t>
  </si>
  <si>
    <t>First Choice Consideration Summary</t>
  </si>
  <si>
    <t>Demographic Profile</t>
  </si>
  <si>
    <t>Unaided Awareness - First Mention</t>
  </si>
  <si>
    <t>Unaided Awareness - Total Mentions</t>
  </si>
  <si>
    <t>Power Regression</t>
  </si>
  <si>
    <t>No household income</t>
  </si>
  <si>
    <t>Premium Regression</t>
  </si>
  <si>
    <t>R52 001 - R60 000</t>
  </si>
  <si>
    <t>Meaningful (factor scores)</t>
  </si>
  <si>
    <t>Don't know</t>
  </si>
  <si>
    <t>Different (factor scores)</t>
  </si>
  <si>
    <t>R45 001 - R52 000</t>
  </si>
  <si>
    <t>Salient (factor scores)</t>
  </si>
  <si>
    <t>More than R60 000</t>
  </si>
  <si>
    <t>R38 001 - R45 000</t>
  </si>
  <si>
    <t>Power Final</t>
  </si>
  <si>
    <t>R31 001 - R38 000</t>
  </si>
  <si>
    <t>Consideration: Total Sample</t>
  </si>
  <si>
    <t>Less than 3K</t>
  </si>
  <si>
    <t>Consideration: Aware of brand</t>
  </si>
  <si>
    <t>R24 001 - R31 000</t>
  </si>
  <si>
    <t>Base: Total sample</t>
  </si>
  <si>
    <t>R10 001 - R17 000</t>
  </si>
  <si>
    <t>Base: Aware of brand</t>
  </si>
  <si>
    <t>R17 001 - R24 000</t>
  </si>
  <si>
    <t>Premium v2 Final</t>
  </si>
  <si>
    <t>R 24K+</t>
  </si>
  <si>
    <t>Power raw</t>
  </si>
  <si>
    <t>R3 001 - R10 000</t>
  </si>
  <si>
    <t>Premium raw</t>
  </si>
  <si>
    <t>Up to 24K (NET)</t>
  </si>
  <si>
    <t>Market Share</t>
  </si>
  <si>
    <t>Supergroup 2</t>
  </si>
  <si>
    <t>People Segments (% of people)</t>
  </si>
  <si>
    <t>Supergroup 4</t>
  </si>
  <si>
    <t>Market Share (% share)</t>
  </si>
  <si>
    <t>Supergroup 5</t>
  </si>
  <si>
    <t>Market factors: Absolute Endorsements %</t>
  </si>
  <si>
    <t>Supergroup 3</t>
  </si>
  <si>
    <t>Market factors (Share flow)</t>
  </si>
  <si>
    <t>Mass market (NET)</t>
  </si>
  <si>
    <t>Brand Image: Absolute endorsements %</t>
  </si>
  <si>
    <t>Prefer not to answer</t>
  </si>
  <si>
    <t>Brand Image: Share of endorsements (excluding any negative or difference statements)</t>
  </si>
  <si>
    <t>White</t>
  </si>
  <si>
    <t>Brand Image Profiles (excluding any negative statements)</t>
  </si>
  <si>
    <t>Indian/Asian</t>
  </si>
  <si>
    <t>Consumer Typology: Weighted by Volume</t>
  </si>
  <si>
    <t>Coloured</t>
  </si>
  <si>
    <t>Dual usage</t>
  </si>
  <si>
    <t>WCI (NET)</t>
  </si>
  <si>
    <t>Total Brand Communication Awareness</t>
  </si>
  <si>
    <t>Black</t>
  </si>
  <si>
    <t>Meets Needs</t>
  </si>
  <si>
    <t>Donâ€™t know</t>
  </si>
  <si>
    <t>Affinity</t>
  </si>
  <si>
    <t>None of these</t>
  </si>
  <si>
    <t>Unique</t>
  </si>
  <si>
    <t>Speciality (e.g. wholegrain. low GI. etc.)</t>
  </si>
  <si>
    <t>Dynamic</t>
  </si>
  <si>
    <t>Bread flour</t>
  </si>
  <si>
    <t>Imagery</t>
  </si>
  <si>
    <t>Buns/rolls</t>
  </si>
  <si>
    <t>Price</t>
  </si>
  <si>
    <t>Brown bread</t>
  </si>
  <si>
    <t>Worth</t>
  </si>
  <si>
    <t>White bread</t>
  </si>
  <si>
    <t>Loyal</t>
  </si>
  <si>
    <t>Price Sensitive</t>
  </si>
  <si>
    <t>Repertoire</t>
  </si>
  <si>
    <t>Total users</t>
  </si>
  <si>
    <t>Albany users</t>
  </si>
  <si>
    <t>Sasko users</t>
  </si>
  <si>
    <t>Blue Ribbon users</t>
  </si>
  <si>
    <t>Sunbake users</t>
  </si>
  <si>
    <t>BB Bakery users</t>
  </si>
  <si>
    <t>Futurelife users</t>
  </si>
  <si>
    <t>Pick n Pay Packaged bread users</t>
  </si>
  <si>
    <t>Spar packaged bread users</t>
  </si>
  <si>
    <t>Shop's own brand users</t>
  </si>
  <si>
    <t>Sunshine users</t>
  </si>
  <si>
    <t>Base</t>
  </si>
  <si>
    <t>Meaningful</t>
  </si>
  <si>
    <t>Different</t>
  </si>
  <si>
    <t>Salient</t>
  </si>
  <si>
    <t>R-squared</t>
  </si>
  <si>
    <t>Base: Asked Consideration</t>
  </si>
  <si>
    <t>Base: Asked Meets Needs. Affinity. Uniqueness &amp; Dynamism</t>
  </si>
  <si>
    <t>Weighted base: Aware of brand</t>
  </si>
  <si>
    <t>Weighted base: Asked Consideration</t>
  </si>
  <si>
    <t>Weighted base: Meets Needs. Affinity. Uniqueness &amp; Dynamism</t>
  </si>
  <si>
    <t>Effective sample size: Aware of brand</t>
  </si>
  <si>
    <t>Effective sample size: Asked Consideration</t>
  </si>
  <si>
    <t>Effective sample size: Meets Needs. Affinity. Uniqueness &amp; Dynamism</t>
  </si>
  <si>
    <t>Power</t>
  </si>
  <si>
    <t>Premium v2 (indexed vs. first wave category average)</t>
  </si>
  <si>
    <t>Potential (% probability of value share growth)</t>
  </si>
  <si>
    <t>Total awareness</t>
  </si>
  <si>
    <t>Price (mean score)</t>
  </si>
  <si>
    <t>Worth - Is worth more than it costs</t>
  </si>
  <si>
    <t>Worth - Is worth what it costs</t>
  </si>
  <si>
    <t>Worth - Is worth less than it costs</t>
  </si>
  <si>
    <t>Perceived Price Index v2 (indexed vs. first wave category average)</t>
  </si>
  <si>
    <t>Premium amongst non-rejectors v2 (indexed vs. first wave category average)</t>
  </si>
  <si>
    <t>Premium amongst non-rejectors. accounting for value positioning (indexed vs. first wave category average)</t>
  </si>
  <si>
    <t>Base: Non-rejectors</t>
  </si>
  <si>
    <t>Weighted base: Non-rejectors</t>
  </si>
  <si>
    <t>Effective sample size: Non-rejectors</t>
  </si>
  <si>
    <t>Low price (Equity supporting price)</t>
  </si>
  <si>
    <t>Mid price</t>
  </si>
  <si>
    <t>High price (Equity not supporting price)</t>
  </si>
  <si>
    <t>Unaware</t>
  </si>
  <si>
    <t>Active Awareness</t>
  </si>
  <si>
    <t>Meaningful (difference from expected)</t>
  </si>
  <si>
    <t>Different (difference from expected)</t>
  </si>
  <si>
    <t>Salient (difference from expected)</t>
  </si>
  <si>
    <t>Potential</t>
  </si>
  <si>
    <t>Odds (Probability of growth vs. Probability of no growth)</t>
  </si>
  <si>
    <t>Power Index</t>
  </si>
  <si>
    <t>Power CMC (for use in cross-market comparison)</t>
  </si>
  <si>
    <t>Dominance</t>
  </si>
  <si>
    <t>Power Composition Meaningful v2</t>
  </si>
  <si>
    <t>Power Composition Different v2</t>
  </si>
  <si>
    <t>Power Composition Salient v2</t>
  </si>
  <si>
    <t>Based on Total Sample</t>
  </si>
  <si>
    <t>Weighted base</t>
  </si>
  <si>
    <t>Effective sample size</t>
  </si>
  <si>
    <t>Summary: Most</t>
  </si>
  <si>
    <t>Summary: Use</t>
  </si>
  <si>
    <t>Summary: Tried</t>
  </si>
  <si>
    <t>Summary: Aware</t>
  </si>
  <si>
    <t>Most often</t>
  </si>
  <si>
    <t>Regularly</t>
  </si>
  <si>
    <t>Tried</t>
  </si>
  <si>
    <t>Heard a lot</t>
  </si>
  <si>
    <t>Heard a little</t>
  </si>
  <si>
    <t>Never heard of</t>
  </si>
  <si>
    <t>Summary: Top 2 Box</t>
  </si>
  <si>
    <t>It would be my first choice</t>
  </si>
  <si>
    <t>It's a brand I would seriously consider</t>
  </si>
  <si>
    <t>It's a brand I might consider</t>
  </si>
  <si>
    <t>It's a brand I would not consider</t>
  </si>
  <si>
    <t>Consideration (mean)</t>
  </si>
  <si>
    <t>Based on Aware of brand</t>
  </si>
  <si>
    <t>Brand CL (Power dependent variable)</t>
  </si>
  <si>
    <t>Last 5 or 10 purchases mean score</t>
  </si>
  <si>
    <t>Power dependent variable</t>
  </si>
  <si>
    <t>Price-worth (Premium dependent variable)</t>
  </si>
  <si>
    <t>Bought last %</t>
  </si>
  <si>
    <t>Focused</t>
  </si>
  <si>
    <t>Affinity Top box %</t>
  </si>
  <si>
    <t>Meet needs Top box %</t>
  </si>
  <si>
    <t>Uniqueness Top box %</t>
  </si>
  <si>
    <t>Dynamism Top box %</t>
  </si>
  <si>
    <t>Affinity Top Rank %</t>
  </si>
  <si>
    <t>Meet needs Top Rank %</t>
  </si>
  <si>
    <t>Uniqueness Top Rank %</t>
  </si>
  <si>
    <t>Dynamism Top Rank %</t>
  </si>
  <si>
    <t>Affinity rank and scale transformed (mean score)</t>
  </si>
  <si>
    <t>Meet needs rank and scale transformed (mean score)</t>
  </si>
  <si>
    <t>Uniqueness rank and scale transformed (mean score)</t>
  </si>
  <si>
    <t>Dynamism rank and scale transformed (mean score)</t>
  </si>
  <si>
    <t>Saliency  rank and scale transformed (mean score)</t>
  </si>
  <si>
    <t>Total Unaided Awareness</t>
  </si>
  <si>
    <t>Awareness Intensity</t>
  </si>
  <si>
    <t>Unaided awareness 1st mention</t>
  </si>
  <si>
    <t>Unaided awareness 2nd mention</t>
  </si>
  <si>
    <t>Unaided awareness 3rd mention</t>
  </si>
  <si>
    <t>Unaided awareness 4th mention</t>
  </si>
  <si>
    <t>Unaided awareness 5th mention</t>
  </si>
  <si>
    <t>Unaided awareness 6th mention</t>
  </si>
  <si>
    <t>Awareness Intensity: Average number of brands endorsed</t>
  </si>
  <si>
    <t>Std Error</t>
  </si>
  <si>
    <t>Claimed market share</t>
  </si>
  <si>
    <t>Most bonded (Top 5% of consumers in terms of Power scores in the category)</t>
  </si>
  <si>
    <t>Bonded (Top 25% of consumers in terms of Power scores in the category)</t>
  </si>
  <si>
    <t>Moderate (Second 25% of consumers in terms of Power scores in the category)</t>
  </si>
  <si>
    <t>Weak (Remainder amongst those aware)</t>
  </si>
  <si>
    <t>Most bonded - volume %</t>
  </si>
  <si>
    <t>Bonded - volume %</t>
  </si>
  <si>
    <t>Moderate - volume %</t>
  </si>
  <si>
    <t>Weak - volume %</t>
  </si>
  <si>
    <t>Unaware - volume %</t>
  </si>
  <si>
    <t>Power (share)</t>
  </si>
  <si>
    <t>Share gap</t>
  </si>
  <si>
    <t>Steady</t>
  </si>
  <si>
    <t>Uncommitted</t>
  </si>
  <si>
    <t>Open</t>
  </si>
  <si>
    <t>Beyond reach</t>
  </si>
  <si>
    <t>Steady - high share</t>
  </si>
  <si>
    <t>Steady - low share</t>
  </si>
  <si>
    <t>Uncommitted - defect</t>
  </si>
  <si>
    <t>Uncommitted - use less</t>
  </si>
  <si>
    <t>Open - use more</t>
  </si>
  <si>
    <t>Open - new user</t>
  </si>
  <si>
    <t>Secure share (previously labelled Fulfilled)</t>
  </si>
  <si>
    <t>Unsupported share (previously labelled Converted)</t>
  </si>
  <si>
    <t>Unrealised share (previously labelled Diverted)</t>
  </si>
  <si>
    <t>Secure - high share</t>
  </si>
  <si>
    <t>Secure - low share</t>
  </si>
  <si>
    <t>Unsupported - defect</t>
  </si>
  <si>
    <t>Unsupported - less volume</t>
  </si>
  <si>
    <t>Unrealised - new user</t>
  </si>
  <si>
    <t>Unrealised - more volume</t>
  </si>
  <si>
    <t>Is the most affordable</t>
  </si>
  <si>
    <t>Is always available where I normally shop</t>
  </si>
  <si>
    <t>You see and hear about it everywhere</t>
  </si>
  <si>
    <t>Is easiest to find in-store</t>
  </si>
  <si>
    <t>It was on promotion</t>
  </si>
  <si>
    <t>It comes in all the pack sizes I need</t>
  </si>
  <si>
    <t>It offers a wide variety in its product range</t>
  </si>
  <si>
    <t>The packaging was most appealing</t>
  </si>
  <si>
    <t>It had its own special display in-store</t>
  </si>
  <si>
    <t>It was recommended by friends or family</t>
  </si>
  <si>
    <t>Is a brand I always buy</t>
  </si>
  <si>
    <t>Other Facilitators</t>
  </si>
  <si>
    <t>Have the right size pack for the family</t>
  </si>
  <si>
    <t>Are better quality than other brands</t>
  </si>
  <si>
    <t>Are the expert bakers</t>
  </si>
  <si>
    <t>Keep up with the times</t>
  </si>
  <si>
    <t>Are the freshest bread</t>
  </si>
  <si>
    <t>Have the perfect softness</t>
  </si>
  <si>
    <t>Bring loved ones together</t>
  </si>
  <si>
    <t>Are wholesome and nutritious</t>
  </si>
  <si>
    <t>Offer healthier choices</t>
  </si>
  <si>
    <t>Are always adding new flavours and products</t>
  </si>
  <si>
    <t>Are good value for money</t>
  </si>
  <si>
    <t>Care about communities</t>
  </si>
  <si>
    <t>Selected Solution</t>
  </si>
  <si>
    <t>Importance weights to Meaningful</t>
  </si>
  <si>
    <t>Importance weights to Different</t>
  </si>
  <si>
    <t>Importance weights to Salient</t>
  </si>
  <si>
    <t>Importance weights to Power</t>
  </si>
  <si>
    <t>Importance weights to Premium</t>
  </si>
  <si>
    <t>Brand Contribution v2 %</t>
  </si>
  <si>
    <t>Brand contribution to volume</t>
  </si>
  <si>
    <t>Brand contribution to price v2</t>
  </si>
  <si>
    <t>Aware of promise (based on total sample)</t>
  </si>
  <si>
    <t>Base Volume</t>
  </si>
  <si>
    <t>Base Price</t>
  </si>
  <si>
    <t>Summary: Brand Loyal/Repertoire</t>
  </si>
  <si>
    <t>Brand Loyal</t>
  </si>
  <si>
    <t>Price Driven</t>
  </si>
  <si>
    <t>Category Importance</t>
  </si>
  <si>
    <t>Exclusive</t>
  </si>
  <si>
    <t>Routine</t>
  </si>
  <si>
    <t>Summary: Divided</t>
  </si>
  <si>
    <t>Divided Involved</t>
  </si>
  <si>
    <t>Divided Uninvolved</t>
  </si>
  <si>
    <t>Indifferent</t>
  </si>
  <si>
    <t>Frustrated</t>
  </si>
  <si>
    <t>Based on: Total Sample</t>
  </si>
  <si>
    <t>Under 35</t>
  </si>
  <si>
    <t>35 or over</t>
  </si>
  <si>
    <t>Upper</t>
  </si>
  <si>
    <t>Lower</t>
  </si>
  <si>
    <t>SS1 18 â€“ 24</t>
  </si>
  <si>
    <t>SS1 25 â€“ 34</t>
  </si>
  <si>
    <t>SS2 Black</t>
  </si>
  <si>
    <t>SS2 WCI</t>
  </si>
  <si>
    <t>SS3 Eastern Cape</t>
  </si>
  <si>
    <t>SS3 Free State</t>
  </si>
  <si>
    <t>SS3 Gauteng</t>
  </si>
  <si>
    <t>SS3 KwaZulu-Natal</t>
  </si>
  <si>
    <t>SS3 NWLPMP</t>
  </si>
  <si>
    <t>SS3 Western Cape</t>
  </si>
  <si>
    <t>SS4 SEM 2-3</t>
  </si>
  <si>
    <t>SS5 SEM 2-4</t>
  </si>
  <si>
    <t>SS5 SEM 5</t>
  </si>
  <si>
    <t>Premium (indexed against Price Index)</t>
  </si>
  <si>
    <t>Perceived Price Index</t>
  </si>
  <si>
    <t>Premium Index amongst non-rejectors</t>
  </si>
  <si>
    <t>Brand Contribution %</t>
  </si>
  <si>
    <t>Brand contribution to price</t>
  </si>
  <si>
    <t>Power Composition Meaningful</t>
  </si>
  <si>
    <t>Power Composition Different</t>
  </si>
  <si>
    <t>Power Composition Salient</t>
  </si>
  <si>
    <t>Clarity: Factor solution 1 (beta version)</t>
  </si>
  <si>
    <t>Clarity: Factor solution 2 (beta version)</t>
  </si>
  <si>
    <t>Clarity: Factor solution 3 (beta version)</t>
  </si>
  <si>
    <t>Clarity: Factor solution 4 (beta version)</t>
  </si>
  <si>
    <t>Clarity: Factor solution 5 (beta version)</t>
  </si>
  <si>
    <t>Clarity: IMG (beta version)</t>
  </si>
  <si>
    <t>Clarity: IMG (legacy)</t>
  </si>
  <si>
    <t>Based on Use brand</t>
  </si>
  <si>
    <t>Albany</t>
  </si>
  <si>
    <t>Sasko</t>
  </si>
  <si>
    <t>Blue Ribbon</t>
  </si>
  <si>
    <t>Sunbake</t>
  </si>
  <si>
    <t>BB Bakery</t>
  </si>
  <si>
    <t>Futurelife</t>
  </si>
  <si>
    <t>Pick n Pay Packaged bread</t>
  </si>
  <si>
    <t>Spar packaged bread</t>
  </si>
  <si>
    <t>Shop's own brand</t>
  </si>
  <si>
    <t>Sunshine</t>
  </si>
  <si>
    <t>Usage repertoire</t>
  </si>
  <si>
    <t>Awareness Intensity: Average rank per brand</t>
  </si>
  <si>
    <t>p-value</t>
  </si>
  <si>
    <t>Flow from Albany</t>
  </si>
  <si>
    <t>Flow from Sasko</t>
  </si>
  <si>
    <t>Flow from Blue Ribbon</t>
  </si>
  <si>
    <t>Flow from Sunbake</t>
  </si>
  <si>
    <t>Flow from BB Bakery</t>
  </si>
  <si>
    <t>Flow from Futurelife</t>
  </si>
  <si>
    <t>Flow from Pick n Pay Packaged bread</t>
  </si>
  <si>
    <t>Flow from Spar packaged bread</t>
  </si>
  <si>
    <t>Flow from Shop's own brand</t>
  </si>
  <si>
    <t>Flow from Sunshine</t>
  </si>
  <si>
    <t>RC1</t>
  </si>
  <si>
    <t>RC2</t>
  </si>
  <si>
    <t>RC5</t>
  </si>
  <si>
    <t>RC3</t>
  </si>
  <si>
    <t>RC4</t>
  </si>
  <si>
    <t>RC6</t>
  </si>
  <si>
    <t>RC7</t>
  </si>
  <si>
    <t>RC8</t>
  </si>
  <si>
    <t>RC9</t>
  </si>
  <si>
    <t>Importance weights to Meaningful %</t>
  </si>
  <si>
    <t>Importance weights to Different %</t>
  </si>
  <si>
    <t>Importance weights to Salient %</t>
  </si>
  <si>
    <t>Importance weights to Power %</t>
  </si>
  <si>
    <t>Importance weights to Premium %</t>
  </si>
  <si>
    <t>Based on Total users</t>
  </si>
  <si>
    <t>Based on: Gender - Male</t>
  </si>
  <si>
    <t>Based on: Gender - Female</t>
  </si>
  <si>
    <t>Based on: SubSample1 - 18 â€“ 24</t>
  </si>
  <si>
    <t>Based on: SubSample1 - 25 â€“ 34</t>
  </si>
  <si>
    <t>Based on: Age - Over 35</t>
  </si>
  <si>
    <t>Based on: SubSample3 - Eastern Cape</t>
  </si>
  <si>
    <t>Based on: SubSample3 - Gauteng</t>
  </si>
  <si>
    <t>Based on: SubSample3 - KwaZulu-Natal</t>
  </si>
  <si>
    <t>Based on: SubSample3 - Western Cape</t>
  </si>
  <si>
    <t>Based on: SubSample3 - NWLPMP</t>
  </si>
  <si>
    <t>Based on: SubSample4 - SEM 2-3</t>
  </si>
  <si>
    <t>Based on: SubSample5 - SEM 2-4</t>
  </si>
  <si>
    <t>Based on: SubSample5 - SEM 5</t>
  </si>
  <si>
    <t>SS4 SEM 2-4</t>
  </si>
  <si>
    <t>SS4 SEM 5</t>
  </si>
  <si>
    <t>Based on: SubSample4 - SEM 2-4</t>
  </si>
  <si>
    <t>Based on: SubSample4 - SEM 5</t>
  </si>
  <si>
    <t>Weighted base: Asked Meets Needs. Affinity. Uniqueness &amp; Dynamism</t>
  </si>
  <si>
    <t>Effective sample size: Asked Meets Needs. Affinity. Uniqueness &amp; Dynamism</t>
  </si>
  <si>
    <t>Base : Non-rejectors</t>
  </si>
  <si>
    <t>Equity gap</t>
  </si>
  <si>
    <t>SS1 Black</t>
  </si>
  <si>
    <t>SS2 White</t>
  </si>
  <si>
    <t>SS3 Coloured</t>
  </si>
  <si>
    <t>SS4 Indian</t>
  </si>
  <si>
    <t>SS5 Gauteng</t>
  </si>
  <si>
    <t>SS6 KZN</t>
  </si>
  <si>
    <t>SS7 Western Cape</t>
  </si>
  <si>
    <t>SS8 Eastern Cape</t>
  </si>
  <si>
    <t>SS9 Free State</t>
  </si>
  <si>
    <t>SS10 Limp/Mpum/NW</t>
  </si>
  <si>
    <t>SS11 SEM 2-3</t>
  </si>
  <si>
    <t>SS12 SEM 4-5</t>
  </si>
  <si>
    <t>SS13 WHITE BREAD</t>
  </si>
  <si>
    <t>SS14 BROWN BREAD</t>
  </si>
  <si>
    <t>SS15 SPECIALITY</t>
  </si>
  <si>
    <t>SS16 BUNS/ROLLS</t>
  </si>
  <si>
    <t>SS17 18 â€“ 24</t>
  </si>
  <si>
    <t>SS18 25 â€“ 34</t>
  </si>
  <si>
    <t>SS19 35+</t>
  </si>
  <si>
    <t>Based on: SubSample17 - 18 â€“ 24</t>
  </si>
  <si>
    <t>Based on: SubSample18 - 25 â€“ 34</t>
  </si>
  <si>
    <t>Based on: SubSample8 - Eastern Cape</t>
  </si>
  <si>
    <t>Based on: SubSample5 - Gauteng</t>
  </si>
  <si>
    <t>Based on: SubSample6 - KZN</t>
  </si>
  <si>
    <t>Based on: SubSample7 - Western Cape</t>
  </si>
  <si>
    <t>Based on: SubSample10 - Limp/Mpum/NW</t>
  </si>
  <si>
    <t>Somewhere else</t>
  </si>
  <si>
    <t>Not seen/heard</t>
  </si>
  <si>
    <t>Searching on-line</t>
  </si>
  <si>
    <t>Sponsorships</t>
  </si>
  <si>
    <t>Out of home</t>
  </si>
  <si>
    <t>Events</t>
  </si>
  <si>
    <t>Word of mouth</t>
  </si>
  <si>
    <t>Social media</t>
  </si>
  <si>
    <t>Radio</t>
  </si>
  <si>
    <t>Promos. competitions. spec. offers</t>
  </si>
  <si>
    <t>Magazine or newspaper</t>
  </si>
  <si>
    <t>TV</t>
  </si>
  <si>
    <t>Broadsheets</t>
  </si>
  <si>
    <t>In a shop/store</t>
  </si>
  <si>
    <t>TBCA (NET)</t>
  </si>
  <si>
    <t>Standard Deviation</t>
  </si>
  <si>
    <t>1 Doesn't meet your needs at all</t>
  </si>
  <si>
    <t>Standard Error</t>
  </si>
  <si>
    <t>7 Meets your needs very well</t>
  </si>
  <si>
    <t>B2B</t>
  </si>
  <si>
    <t>-3 I hate it</t>
  </si>
  <si>
    <t>0 Neutral</t>
  </si>
  <si>
    <t>+3 I love it</t>
  </si>
  <si>
    <t>T2B</t>
  </si>
  <si>
    <t>Mean</t>
  </si>
  <si>
    <t>1 Exactly the same</t>
  </si>
  <si>
    <t>7 Very different</t>
  </si>
  <si>
    <t>1 Follows others</t>
  </si>
  <si>
    <t>7 Sets the trends</t>
  </si>
  <si>
    <t>1 Costs the least</t>
  </si>
  <si>
    <t>7 Costs the most</t>
  </si>
  <si>
    <t>T3B</t>
  </si>
  <si>
    <t>Worth less than it costs (1)</t>
  </si>
  <si>
    <t>Worth more than it costs (3)</t>
  </si>
  <si>
    <t>Worth what it costs (2)</t>
  </si>
  <si>
    <t>Index</t>
  </si>
  <si>
    <t>Respondent_Id</t>
  </si>
  <si>
    <t>Yes</t>
  </si>
  <si>
    <t>6509e475d013746050533997</t>
  </si>
  <si>
    <t>6509e475d013746050533998</t>
  </si>
  <si>
    <t>6509e475d013746050533999</t>
  </si>
  <si>
    <t>6509e475d01374605053399a</t>
  </si>
  <si>
    <t>6509e475d01374605053399b</t>
  </si>
  <si>
    <t>6509e475d01374605053399c</t>
  </si>
  <si>
    <t>6509e475d01374605053399d</t>
  </si>
  <si>
    <t>6509e475d01374605053399e</t>
  </si>
  <si>
    <t>650a0a1c04410260675a47d1</t>
  </si>
  <si>
    <t>650a0a1c04410260675a47d2</t>
  </si>
  <si>
    <t>650a0a1c04410260675a47d3</t>
  </si>
  <si>
    <t>650a0a1c04410260675a47d4</t>
  </si>
  <si>
    <t>650a0a1c04410260675a47d5</t>
  </si>
  <si>
    <t>650a0a1c04410260675a47d6</t>
  </si>
  <si>
    <t>650a0a1c04410260675a47d7</t>
  </si>
  <si>
    <t>650a0a1c04410260675a47d8</t>
  </si>
  <si>
    <t>650a0a1c04410260675a47d9</t>
  </si>
  <si>
    <t>650b557559a24b71a22ff679</t>
  </si>
  <si>
    <t>650b557559a24b71a22ff67a</t>
  </si>
  <si>
    <t>650b557559a24b71a22ff67b</t>
  </si>
  <si>
    <t>650b557559a24b71a22ff67c</t>
  </si>
  <si>
    <t>650b557559a24b71a22ff67d</t>
  </si>
  <si>
    <t>650b557559a24b71a22ff67e</t>
  </si>
  <si>
    <t>650b557559a24b71a22ff67f</t>
  </si>
  <si>
    <t>650b557559a24b71a22ff680</t>
  </si>
  <si>
    <t>650b557559a24b71a22ff681</t>
  </si>
  <si>
    <t>650b557559a24b71a22ff682</t>
  </si>
  <si>
    <t>650b557559a24b71a22ff683</t>
  </si>
  <si>
    <t>6511b54c228003470ddb41ed</t>
  </si>
  <si>
    <t>6511b54c228003470ddb41ee</t>
  </si>
  <si>
    <t>6511b54c228003470ddb41ef</t>
  </si>
  <si>
    <t>6511b54c228003470ddb41f0</t>
  </si>
  <si>
    <t>6511b54c228003470ddb41f1</t>
  </si>
  <si>
    <t>6511b54c228003470ddb41f2</t>
  </si>
  <si>
    <t>651338314c8a6370bc3733cc</t>
  </si>
  <si>
    <t>651338314c8a6370bc3733cd</t>
  </si>
  <si>
    <t>651338314c8a6370bc3733ce</t>
  </si>
  <si>
    <t>651338314c8a6370bc3733cf</t>
  </si>
  <si>
    <t>651338314c8a6370bc3733d0</t>
  </si>
  <si>
    <t>651338314c8a6370bc3733d1</t>
  </si>
  <si>
    <t>651338314c8a6370bc3733d2</t>
  </si>
  <si>
    <t>6514acb28b76b60a127a6468</t>
  </si>
  <si>
    <t>6514acb28b76b60a127a6469</t>
  </si>
  <si>
    <t>6514acb28b76b60a127a646a</t>
  </si>
  <si>
    <t>6514acb28b76b60a127a646b</t>
  </si>
  <si>
    <t>6514acb28b76b60a127a646c</t>
  </si>
  <si>
    <t>6514acb28b76b60a127a646d</t>
  </si>
  <si>
    <t>6514acb28b76b60a127a646e</t>
  </si>
  <si>
    <t>6514acb28b76b60a127a646f</t>
  </si>
  <si>
    <t>6515b97ad4652873ebe6f7cd</t>
  </si>
  <si>
    <t>6515b97ad4652873ebe6f7ce</t>
  </si>
  <si>
    <t>6515b97ad4652873ebe6f7cf</t>
  </si>
  <si>
    <t>6515b97ad4652873ebe6f7d0</t>
  </si>
  <si>
    <t>6515b97ad4652873ebe6f7d1</t>
  </si>
  <si>
    <t>Worksheet</t>
  </si>
  <si>
    <t>Mode</t>
  </si>
  <si>
    <t>Position</t>
  </si>
  <si>
    <t>Key</t>
  </si>
  <si>
    <t>Value</t>
  </si>
  <si>
    <t>Info</t>
  </si>
  <si>
    <t>Description</t>
  </si>
  <si>
    <t>Business context</t>
  </si>
  <si>
    <t>Logo slide</t>
  </si>
  <si>
    <t>Deck_name</t>
  </si>
  <si>
    <t>Category_lvl_db</t>
  </si>
  <si>
    <t>System generated</t>
  </si>
  <si>
    <t>Respondent_Id_1</t>
  </si>
  <si>
    <t>Respondent_Id_2</t>
  </si>
  <si>
    <t>Respondent_Id_3</t>
  </si>
  <si>
    <t>Respondent_Id_4</t>
  </si>
  <si>
    <t>Respondent_Id_5</t>
  </si>
  <si>
    <t>Respondent_Id_6</t>
  </si>
  <si>
    <t>Respondent_Id_7</t>
  </si>
  <si>
    <t>Respondent_Id_8</t>
  </si>
  <si>
    <t>Respondent_Id_9</t>
  </si>
  <si>
    <t>Respondent_Id_10</t>
  </si>
  <si>
    <t>Respondent_Id_11</t>
  </si>
  <si>
    <t>Respondent_Id_12</t>
  </si>
  <si>
    <t>Respondent_Id_13</t>
  </si>
  <si>
    <t>Respondent_Id_14</t>
  </si>
  <si>
    <t>Respondent_Id_15</t>
  </si>
  <si>
    <t>Respondent_Id_16</t>
  </si>
  <si>
    <t>Respondent_Id_17</t>
  </si>
  <si>
    <t>Respondent_Id_18</t>
  </si>
  <si>
    <t>Respondent_Id_19</t>
  </si>
  <si>
    <t>Respondent_Id_20</t>
  </si>
  <si>
    <t>Respondent_Id_21</t>
  </si>
  <si>
    <t>Respondent_Id_22</t>
  </si>
  <si>
    <t>Respondent_Id_23</t>
  </si>
  <si>
    <t>Respondent_Id_24</t>
  </si>
  <si>
    <t>Respondent_Id_25</t>
  </si>
  <si>
    <t>Respondent_Id_26</t>
  </si>
  <si>
    <t>Respondent_Id_27</t>
  </si>
  <si>
    <t>Respondent_Id_28</t>
  </si>
  <si>
    <t>Respondent_Id_29</t>
  </si>
  <si>
    <t>Respondent_Id_30</t>
  </si>
  <si>
    <t>Respondent_Id_31</t>
  </si>
  <si>
    <t>Respondent_Id_32</t>
  </si>
  <si>
    <t>Respondent_Id_33</t>
  </si>
  <si>
    <t>Respondent_Id_34</t>
  </si>
  <si>
    <t>Respondent_Id_35</t>
  </si>
  <si>
    <t>Respondent_Id_36</t>
  </si>
  <si>
    <t>Respondent_Id_37</t>
  </si>
  <si>
    <t>Respondent_Id_38</t>
  </si>
  <si>
    <t>Respondent_Id_39</t>
  </si>
  <si>
    <t>Respondent_Id_40</t>
  </si>
  <si>
    <t>Respondent_Id_41</t>
  </si>
  <si>
    <t>Respondent_Id_42</t>
  </si>
  <si>
    <t>Respondent_Id_43</t>
  </si>
  <si>
    <t>Respondent_Id_44</t>
  </si>
  <si>
    <t>Respondent_Id_45</t>
  </si>
  <si>
    <t>Respondent_Id_46</t>
  </si>
  <si>
    <t>Respondent_Id_47</t>
  </si>
  <si>
    <t>Respondent_Id_48</t>
  </si>
  <si>
    <t>Respondent_Id_49</t>
  </si>
  <si>
    <t>Respondent_Id_50</t>
  </si>
  <si>
    <t>Respondent_Id_51</t>
  </si>
  <si>
    <t>Respondent_Id_52</t>
  </si>
  <si>
    <t>Respondent_Id_53</t>
  </si>
  <si>
    <t>Respondent_Id_54</t>
  </si>
  <si>
    <t>PowerPoint template configurations</t>
  </si>
  <si>
    <t>Chart Plotting</t>
  </si>
  <si>
    <t>Data processing</t>
  </si>
  <si>
    <t>Slide no</t>
  </si>
  <si>
    <t>Slide id</t>
  </si>
  <si>
    <t>Chart type</t>
  </si>
  <si>
    <t>Chart name</t>
  </si>
  <si>
    <t>Data source</t>
  </si>
  <si>
    <t>Excel address</t>
  </si>
  <si>
    <t>Category</t>
  </si>
  <si>
    <t>Series</t>
  </si>
  <si>
    <t>Series values</t>
  </si>
  <si>
    <t>X axis</t>
  </si>
  <si>
    <t>Y axis</t>
  </si>
  <si>
    <t>Size</t>
  </si>
  <si>
    <t>Content</t>
  </si>
  <si>
    <t>Datacut1</t>
  </si>
  <si>
    <t>Datacut2</t>
  </si>
  <si>
    <t>Replace</t>
  </si>
  <si>
    <t>Group</t>
  </si>
  <si>
    <t>Sorting Method</t>
  </si>
  <si>
    <t>Sort Category</t>
  </si>
  <si>
    <t>Sort Series</t>
  </si>
  <si>
    <t>Sort Values</t>
  </si>
  <si>
    <t>Category colors</t>
  </si>
  <si>
    <t>Data format</t>
  </si>
  <si>
    <t>Function</t>
  </si>
  <si>
    <t>Significance testing</t>
  </si>
  <si>
    <t>Chart - Standard</t>
  </si>
  <si>
    <t>CHART_1</t>
  </si>
  <si>
    <t>Python</t>
  </si>
  <si>
    <t>Brands</t>
  </si>
  <si>
    <t xml:space="preserve">Context:Brand Image Profiles (excluding any negative statements)|
Category_Metric_KPI:@SO_BIP_list|
Time_Period:@SO_Timeperiod|Brands:@Brand_list_1
</t>
  </si>
  <si>
    <t>sum</t>
  </si>
  <si>
    <t>@SO_BIP_list</t>
  </si>
  <si>
    <t>Beast Color</t>
  </si>
  <si>
    <t>Zerodecimal</t>
  </si>
  <si>
    <t>data_prep_chart_std</t>
  </si>
  <si>
    <t>CHART_2</t>
  </si>
  <si>
    <t xml:space="preserve">Context:Brand Image Profiles (excluding any negative statements)|
Category_Metric_KPI:@SO_BIP_list|
Time_Period:@Timeperiod_1|Brands:@Brand_list_2
</t>
  </si>
  <si>
    <t>CHART_3</t>
  </si>
  <si>
    <t xml:space="preserve">Context:Brand Image Profiles (excluding any negative statements)|
Category_Metric_KPI:@SO_BIP_list|
Time_Period:@Timeperiod_1|Brands:@Brand_list_3
</t>
  </si>
  <si>
    <t>CHART_4</t>
  </si>
  <si>
    <t xml:space="preserve">Context:Brand Image Profiles (excluding any negative statements)|
Category_Metric_KPI:@SO_BIP_list|
Time_Period:@Timeperiod_1|Brands:@Brand_list_4
</t>
  </si>
  <si>
    <t>CHART_5</t>
  </si>
  <si>
    <t xml:space="preserve">Context:Brand Image Profiles (excluding any negative statements)|
Category_Metric_KPI:@SO_BIP_list|
Time_Period:@Timeperiod_1|Brands:@Brand_list_5
</t>
  </si>
  <si>
    <t>CHART_6</t>
  </si>
  <si>
    <t xml:space="preserve">Context:Brand Image Profiles (excluding any negative statements)|
Category_Metric_KPI:@SO_BIP_list|
Time_Period:@Timeperiod_1|Brands:@Brand_list_6
</t>
  </si>
  <si>
    <t xml:space="preserve">Context:CEP|
Category_Metric_KPI:@SO_CEP_list|
Time_Period:@Timeperiod_1|Brands:@Brand_list_1
</t>
  </si>
  <si>
    <t>@SO_CEP_list</t>
  </si>
  <si>
    <t xml:space="preserve">Context:CEP|
Category_Metric_KPI:@SO_CEP_list|
Time_Period:@Timeperiod_1|Brands:@Brand_list_2
</t>
  </si>
  <si>
    <t xml:space="preserve">Context:CEP|
Category_Metric_KPI:@SO_CEP_list|
Time_Period:@Timeperiod_1|Brands:@Brand_list_3
</t>
  </si>
  <si>
    <t xml:space="preserve">Context:CEP|
Category_Metric_KPI:@SO_CEP_list|
Time_Period:@Timeperiod_1|Brands:@Brand_list_4
</t>
  </si>
  <si>
    <t xml:space="preserve">Context:CEP|
Category_Metric_KPI:@SO_CEP_list|
Time_Period:@Timeperiod_1|Brands:@Brand_list_5
</t>
  </si>
  <si>
    <t xml:space="preserve">Context:CEP|
Category_Metric_KPI:@SO_CEP_list|
Time_Period:@Timeperiod_1|Brands:@Brand_list_6
</t>
  </si>
  <si>
    <t>CHART_7</t>
  </si>
  <si>
    <t xml:space="preserve">Context:CEP|
Category_Metric_KPI:@SO_CEP_list|
Time_Period:@Timeperiod_1|Brands:@Brand_list_7
</t>
  </si>
  <si>
    <t>CHART_8</t>
  </si>
  <si>
    <t xml:space="preserve">Context:CEP|
Category_Metric_KPI:@SO_CEP_list|
Time_Period:@Timeperiod_1|Brands:@Brand_list_8
</t>
  </si>
  <si>
    <t>CHART_9</t>
  </si>
  <si>
    <t xml:space="preserve">Context:CEP|
Category_Metric_KPI:@SO_CEP_list|
Time_Period:@Timeperiod_1|Brands:@Brand_list_9
</t>
  </si>
  <si>
    <t>CHART_10</t>
  </si>
  <si>
    <t xml:space="preserve">Context:CEP|
Category_Metric_KPI:@SO_CEP_list|
Time_Period:@Timeperiod_1|Brands:@Brand_list_10
</t>
  </si>
  <si>
    <t>CHART_11</t>
  </si>
  <si>
    <t xml:space="preserve">Context:CEP|
Category_Metric_KPI:@SO_CEP_list|
Time_Period:@Timeperiod_1|Brands:@Brand_list_11
</t>
  </si>
  <si>
    <t>CHART_12</t>
  </si>
  <si>
    <t xml:space="preserve">Context:CEP|
Category_Metric_KPI:@SO_CEP_list|
Time_Period:@Timeperiod_1|Brands:@Brand_list_12
</t>
  </si>
  <si>
    <t xml:space="preserve">Context:@Shareflow_context|
Category_Metric_KPI:@SO_Share_flow_metric|
Time_Period:@Timeperiod_1|Brands:@Client_brand_list_1
</t>
  </si>
  <si>
    <t>@SO_Share_flow_metric</t>
  </si>
  <si>
    <t>2decimal *100</t>
  </si>
  <si>
    <t xml:space="preserve">Context:@Shareflow_context|
Category_Metric_KPI:@SO_Share_flow_metric|
Time_Period:@Timeperiod_1|Brands:@Client_brand_list_2
</t>
  </si>
  <si>
    <t>CHART_1a</t>
  </si>
  <si>
    <t xml:space="preserve">Context:Power SigTest,Claimed market share SigTest|
Category_Metric_KPI:@SO_Power_market|
Time_Period:@Timeperiod_1|Brands:@Client_brand_list_1
</t>
  </si>
  <si>
    <t>@SO_Power_market</t>
  </si>
  <si>
    <t>CHART_2a</t>
  </si>
  <si>
    <t xml:space="preserve">Context:Power SigTest,Claimed market share SigTest|
Category_Metric_KPI:@SO_Power_market|
Time_Period:@Timeperiod_1|Brands:@Client_brand_list_2
</t>
  </si>
  <si>
    <t xml:space="preserve">Context:@Shareflow_context|
Category_Metric_KPI:@SO_Share_flow_metric|
Time_Period:@Timeperiod_1|Brands:@Client_brand_list_3
</t>
  </si>
  <si>
    <t xml:space="preserve">Context:@Shareflow_context|
Category_Metric_KPI:@SO_Share_flow_metric|
Time_Period:@Timeperiod_1|Brands:@Client_brand_list_4
</t>
  </si>
  <si>
    <t xml:space="preserve">Context:@Shareflow_context|
Category_Metric_KPI:@SO_Share_flow_metric|
Time_Period:@Timeperiod_1|Brands:@Client_brand_list_5
</t>
  </si>
  <si>
    <t xml:space="preserve">Context:@Shareflow_context|
Category_Metric_KPI:@SO_Share_flow_metric|
Time_Period:@Timeperiod_1|Brands:@Client_brand_list_6
</t>
  </si>
  <si>
    <t xml:space="preserve">Context:Power SigTest,Claimed market share SigTest|
Category_Metric_KPI:@SO_Power_market|
Time_Period:@Timeperiod_1|Brands:@Client_brand_list_3
</t>
  </si>
  <si>
    <t xml:space="preserve">Context:Power SigTest,Claimed market share SigTest|
Category_Metric_KPI:@SO_Power_market|
Time_Period:@Timeperiod_1|Brands:@Client_brand_list_4
</t>
  </si>
  <si>
    <t>CHART_3a</t>
  </si>
  <si>
    <t xml:space="preserve">Context:Power SigTest,Claimed market share SigTest|
Category_Metric_KPI:@SO_Power_market|
Time_Period:@Timeperiod_1|Brands:@Client_brand_list_5
</t>
  </si>
  <si>
    <t>CHART_4a</t>
  </si>
  <si>
    <t xml:space="preserve">Context:Power SigTest,Claimed market share SigTest|
Category_Metric_KPI:@SO_Power_market|
Time_Period:@Timeperiod_1|Brands:@Client_brand_list_6
</t>
  </si>
  <si>
    <t xml:space="preserve">Context:@TBCA_context|
Category_Metric_KPI:@SO_TBCA_metric|
Brands:@Client_brand_list_1
</t>
  </si>
  <si>
    <t>@SO_TBCA_metric</t>
  </si>
  <si>
    <t>Zerodecimal *100</t>
  </si>
  <si>
    <t xml:space="preserve">Context:@TBCA_context|
Category_Metric_KPI:@SO_TBCA_metric|
Brands:@Client_brand_list_2
</t>
  </si>
  <si>
    <t xml:space="preserve">Context:@TBCA_context|
Category_Metric_KPI:@SO_TBCA_metric|
Brands:@Client_brand_list_3
</t>
  </si>
  <si>
    <t xml:space="preserve">Context:@TBCA_context|
Category_Metric_KPI:@SO_TBCA_metric|
Brands:@Client_brand_list_4
</t>
  </si>
  <si>
    <t xml:space="preserve">Context:@TBCA_context|
Category_Metric_KPI:@SO_TBCA_metric|
Brands:@Client_brand_list_5
</t>
  </si>
  <si>
    <t>Power,,,,,,,,,,Claimed market share</t>
  </si>
  <si>
    <t>1decimal *100</t>
  </si>
  <si>
    <t>CHART_5a</t>
  </si>
  <si>
    <t>CHART_6a</t>
  </si>
  <si>
    <t>Brand_Funnel_1</t>
  </si>
  <si>
    <t>Context:Funnels - Summary|
Category_Metric_KPI:@SO_funnel_metrics|
Brands:@Funnel_brand_1</t>
  </si>
  <si>
    <t>@SO_funnel_metrics</t>
  </si>
  <si>
    <t>data_prep_chart_funnel</t>
  </si>
  <si>
    <t>Brand_Funnel_2</t>
  </si>
  <si>
    <t>Context:Funnels - Summary|
Category_Metric_KPI:@SO_funnel_metrics|
Brands:@Funnel_brand_2</t>
  </si>
  <si>
    <t>Brand_Funnel_3</t>
  </si>
  <si>
    <t>Context:Funnels - Summary|
Category_Metric_KPI:@SO_funnel_metrics|
Brands:@Funnel_brand_3</t>
  </si>
  <si>
    <t>Brand_Funnel_4</t>
  </si>
  <si>
    <t>Context:Funnels - Summary|
Category_Metric_KPI:@SO_funnel_metrics|
Brands:@Funnel_brand_4</t>
  </si>
  <si>
    <t>Brand_Funnel_5</t>
  </si>
  <si>
    <t>Context:Funnels - Summary|
Category_Metric_KPI:@SO_funnel_metrics|
Brands:@Funnel_brand_5</t>
  </si>
  <si>
    <t>Brand_Funnel_6</t>
  </si>
  <si>
    <t>Context:Funnels - Summary|
Category_Metric_KPI:@SO_funnel_metrics|
Brands:@Funnel_brand_6</t>
  </si>
  <si>
    <t>Datacut_L1</t>
  </si>
  <si>
    <t xml:space="preserve">Context:Milk Purchase Frequency|
Category_Metric_KPI:@SO_Frequency_list|
Datacut_L1:Total
</t>
  </si>
  <si>
    <t>@SO_Frequency_list</t>
  </si>
  <si>
    <t>Table Coloring/Formatting/Position</t>
  </si>
  <si>
    <t xml:space="preserve">Table type </t>
  </si>
  <si>
    <t>Table name</t>
  </si>
  <si>
    <t>Datacut1 columns</t>
  </si>
  <si>
    <t>Datacut2 columns</t>
  </si>
  <si>
    <t>Refresh Category</t>
  </si>
  <si>
    <t>Refresh Series</t>
  </si>
  <si>
    <t>Formatting column</t>
  </si>
  <si>
    <t>Skip table column</t>
  </si>
  <si>
    <t>Skip table row</t>
  </si>
  <si>
    <t>Formatting</t>
  </si>
  <si>
    <t>Affix</t>
  </si>
  <si>
    <t>Resize</t>
  </si>
  <si>
    <t>Representation Method</t>
  </si>
  <si>
    <t>Table - Standard</t>
  </si>
  <si>
    <t>Table_1</t>
  </si>
  <si>
    <t>Data Cut_lvl2</t>
  </si>
  <si>
    <t>Context:Total Brand Communication Awareness|
TimePeriod:Q1'23|
Data Cut_lvl2:@SO_TBCA|
Brands:@SO_TBCA_Total_list</t>
  </si>
  <si>
    <t>Brands,Data Cut_lvl2,value</t>
  </si>
  <si>
    <t>yes</t>
  </si>
  <si>
    <t>@SO_TBCA_Total_list</t>
  </si>
  <si>
    <t>@SO_TBCA</t>
  </si>
  <si>
    <t>table_replace_data</t>
  </si>
  <si>
    <t>LongTerm</t>
  </si>
  <si>
    <t>TABLE1</t>
  </si>
  <si>
    <t>Context:Total Brand Communication Awareness - Media|
TimePeriod:@Timeperiod_1|
Category_Metric_KPI:@SO_Tbca_metrics|
Data Cut_L1:@Dummy_value| Brands:@SO_Brands_left</t>
  </si>
  <si>
    <t>Brands,Category_Metric_KPI,value</t>
  </si>
  <si>
    <t>no</t>
  </si>
  <si>
    <t>@SO_Brands_left</t>
  </si>
  <si>
    <t>@SO_Tbca_metrics</t>
  </si>
  <si>
    <t>ShortTerm</t>
  </si>
  <si>
    <t>Context:Funnels|
Category_Metric_KPI:@SO_Funnel_metrics|
TimePeriod:@Timeperiod_2|
Data Cut_L2:Base| Brands:@Dummy_brand</t>
  </si>
  <si>
    <t>@SO_Funnel_metrics</t>
  </si>
  <si>
    <t>TABLE2</t>
  </si>
  <si>
    <t>Context:Funnels|
Category_Metric_KPI:@SO_Funnel_metrics|
TimePeriod:@Timeperiod_2|
Data Cut_L2:Lagos| Brands:@Dummy_brand</t>
  </si>
  <si>
    <t>TABLE3</t>
  </si>
  <si>
    <t>Context:Funnels|
Category_Metric_KPI:@SO_Funnel_metrics|
TimePeriod:@Timeperiod_2|
Data Cut_L2:Ibadan| Brands:@Dummy_brand</t>
  </si>
  <si>
    <t>TABLE4</t>
  </si>
  <si>
    <t>Context:Funnels|
Category_Metric_KPI:@SO_Funnel_metrics|
TimePeriod:@Timeperiod_2|
Data Cut_L2:Port Harcourt| Brands:@Dummy_brand</t>
  </si>
  <si>
    <t>TABLE5</t>
  </si>
  <si>
    <t>Context:Funnels|
Category_Metric_KPI:@SO_Funnel_metrics|
TimePeriod:@Timeperiod_2|
Data Cut_L2:Enugu| Brands:@Dummy_brand</t>
  </si>
  <si>
    <t>TABLE6</t>
  </si>
  <si>
    <t>Context:Funnels|
Category_Metric_KPI:@SO_Funnel_metrics|
TimePeriod:@Timeperiod_2|
Data Cut_L2:Abuja| Brands:@Dummy_brand</t>
  </si>
  <si>
    <t>TABLE7</t>
  </si>
  <si>
    <t>Context:Funnels|
Category_Metric_KPI:@SO_Funnel_metrics|
TimePeriod:@Timeperiod_2|
Data Cut_L2:Kano| Brands:@Dummy_brand</t>
  </si>
  <si>
    <t>Context:Unaided Awareness|
Category_Metric_KPI:First Mention|
TimePeriod:@Timeperiod_2|
Data Cut_L1:@Dummy_value| Brands:@SO_Brand_list_2</t>
  </si>
  <si>
    <t>@SO_Brand_list_2</t>
  </si>
  <si>
    <t>Context:Unaided Awareness|
Category_Metric_KPI:Total Mentions|
TimePeriod:@Timeperiod_2|
Data Cut_L1:@Dummy_value| Brands:@SO_Brand_list_2</t>
  </si>
  <si>
    <t>Context:Familiarity|
Category_Metric_KPI:Aware (NET)|
TimePeriod:@Timeperiod_2|
Data Cut_L1:@Dummy_value| Brands:@SO_Brand_list_2</t>
  </si>
  <si>
    <t>Context:Familiarity|
Category_Metric_KPI:@Brand_usage_metrics_3|
TimePeriod:@Timeperiod_2|
Data Cut_L1:@Dummy_value| Brands:@SO_Brand_list_2</t>
  </si>
  <si>
    <t>Context:Familiarity|
Category_Metric_KPI:@Brand_usage_metrics_2|
TimePeriod:@Timeperiod_2|
Data Cut_L1:@Dummy_value| Brands:@SO_Brand_list_2</t>
  </si>
  <si>
    <t>Context:Familiarity|
Category_Metric_KPI:@Brand_usage_metrics_1|
TimePeriod:@Timeperiod_2|
Data Cut_L1:@Dummy_value| Brands:@SO_Brand_list_2</t>
  </si>
  <si>
    <t>Table_2</t>
  </si>
  <si>
    <t>Context:MarketShare|
Time_Period:@Timeperiod_1|
Category_Metric_KPI:Share gap|
Brands:@SO_Brands_list_p</t>
  </si>
  <si>
    <t>@SO_Brands_list_p</t>
  </si>
  <si>
    <t>Context:CEP|Worksheet:Total Sample|
Time_Period:@Timeperiod_1|
Category_Metric_KPI:@SO_CEP_list|
Brands:@SO_CEP_brands_list</t>
  </si>
  <si>
    <t>@SO_CEP_brands_list</t>
  </si>
  <si>
    <t>Context:CEP|Worksheet:Total Sample|
Time_Period:@Timeperiod_1|
Category_Metric_KPI:@SO_CEP_list|
Brands:@SO_CEP_b_list2</t>
  </si>
  <si>
    <t>@SO_CEP_b_list2</t>
  </si>
  <si>
    <t>Context:CEP|Worksheet:Total Sample|
Time_Period:@Timeperiod_1|
Category_Metric_KPI:@SO_CEP_list|
Brands:@SO_CEP_b_list3</t>
  </si>
  <si>
    <t>@SO_CEP_b_list3</t>
  </si>
  <si>
    <t>Context:CEP|Worksheet:Total Sample|
Time_Period:@Timeperiod_1|
Category_Metric_KPI:@SO_CEP_list|
Brands:@SO_CEP_b_list4</t>
  </si>
  <si>
    <t>@SO_CEP_b_list4</t>
  </si>
  <si>
    <t xml:space="preserve">Context:Brand Image Profiles (excluding any negative statements)|
Category_Metric_KPI:@BIP_list_11|
Time_Period:@Timeperiod_1|Brands:SO_B_list_11
</t>
  </si>
  <si>
    <t>@BIP_list_11</t>
  </si>
  <si>
    <t>@SO_B_list_11</t>
  </si>
  <si>
    <t>Datacut_L2</t>
  </si>
  <si>
    <t xml:space="preserve">Context:CEP|
Category_Metric_KPI:@SO_CEP_list|Datacut_L2:@SO_Datacut_L2_list|
Time_Period:@Timeperiod_1|Brands:@Dummy_brand
</t>
  </si>
  <si>
    <t>Datacut_L2,Category_Metric_KPI,value</t>
  </si>
  <si>
    <t>@SO_Datacut_L2_list</t>
  </si>
  <si>
    <t>TABLE_1</t>
  </si>
  <si>
    <t>Context:@Absolute_endo_context|
Time_Period:@Timeperiod_1|
Category_Metric_KPI:@SO_BIP_list|
Brands:@SO_Brand_list</t>
  </si>
  <si>
    <t>Series:Delete</t>
  </si>
  <si>
    <t>@SO_Brand_list</t>
  </si>
  <si>
    <t>Context:Customer Typology Derived|
Category_Metric_KPI:@SO_Typology_list|
Brands:@SO_Brand_list</t>
  </si>
  <si>
    <t>Shape Plotting</t>
  </si>
  <si>
    <t>Shape Coloring/Formatting/Position</t>
  </si>
  <si>
    <t xml:space="preserve">Shape type </t>
  </si>
  <si>
    <t>Group name</t>
  </si>
  <si>
    <t>Shape name</t>
  </si>
  <si>
    <t>Insertion point</t>
  </si>
  <si>
    <t>Text to find</t>
  </si>
  <si>
    <t>Static</t>
  </si>
  <si>
    <t>Shape position</t>
  </si>
  <si>
    <t>Height</t>
  </si>
  <si>
    <t>Width</t>
  </si>
  <si>
    <t>Horizontal Position</t>
  </si>
  <si>
    <t>Vertical Position</t>
  </si>
  <si>
    <t>Logo</t>
  </si>
  <si>
    <t>Text box</t>
  </si>
  <si>
    <t>Day_of_visit</t>
  </si>
  <si>
    <t>Complete text</t>
  </si>
  <si>
    <t>textbox_replace_data</t>
  </si>
  <si>
    <t>No</t>
  </si>
  <si>
    <t>Date_of_visit</t>
  </si>
  <si>
    <t>In place of specific text</t>
  </si>
  <si>
    <t>xxx</t>
  </si>
  <si>
    <t>@Brand_list_2</t>
  </si>
  <si>
    <t>Item_number</t>
  </si>
  <si>
    <t>@Brand_list_3</t>
  </si>
  <si>
    <t>Sub_area</t>
  </si>
  <si>
    <t>@Brand_list_4</t>
  </si>
  <si>
    <t>Location</t>
  </si>
  <si>
    <t>@Brand_list_5</t>
  </si>
  <si>
    <t>Type_of_incident</t>
  </si>
  <si>
    <t>@Brand_list_6</t>
  </si>
  <si>
    <t>Auditor_comment</t>
  </si>
  <si>
    <t>TEXT_1</t>
  </si>
  <si>
    <t>@Brand_list_1</t>
  </si>
  <si>
    <t>TEXT_2</t>
  </si>
  <si>
    <t>TEXT_3</t>
  </si>
  <si>
    <t>TEXT_4</t>
  </si>
  <si>
    <t>TEXT_5</t>
  </si>
  <si>
    <t>TEXT_6</t>
  </si>
  <si>
    <t>TEXT_7</t>
  </si>
  <si>
    <t>@Brand_list_7</t>
  </si>
  <si>
    <t>TEXT_8</t>
  </si>
  <si>
    <t>@Brand_list_8</t>
  </si>
  <si>
    <t>TEXT_9</t>
  </si>
  <si>
    <t>@Brand_list_9</t>
  </si>
  <si>
    <t>TEXT_10</t>
  </si>
  <si>
    <t>@Brand_list_10</t>
  </si>
  <si>
    <t>TEXT_11</t>
  </si>
  <si>
    <t>@Brand_list_11</t>
  </si>
  <si>
    <t>TEXT_12</t>
  </si>
  <si>
    <t>@Brand_list_12</t>
  </si>
  <si>
    <t>@Client_brand_list_1</t>
  </si>
  <si>
    <t>@Client_brand_list_2</t>
  </si>
  <si>
    <t>@Client_brand_list_3</t>
  </si>
  <si>
    <t>@Client_brand_list_4</t>
  </si>
  <si>
    <t>@Client_brand_list_5</t>
  </si>
  <si>
    <t>@Client_brand_list_6</t>
  </si>
  <si>
    <t>@Funnel_brand_1</t>
  </si>
  <si>
    <t>@Funnel_brand_2</t>
  </si>
  <si>
    <t>@Funnel_brand_3</t>
  </si>
  <si>
    <t>@Funnel_brand_4</t>
  </si>
  <si>
    <t>@Funnel_brand_5</t>
  </si>
  <si>
    <t>@Funnel_brand_6</t>
  </si>
  <si>
    <t>Convert1</t>
  </si>
  <si>
    <t>Datacut2/Datacut1</t>
  </si>
  <si>
    <t>Context:Funnels - Summary|
Category_Metric_KPI:Total Awareness|
Brands:@Funnel_brand_1</t>
  </si>
  <si>
    <t>Context:Funnels - Summary|
Category_Metric_KPI:Tried|
Brands:@Funnel_brand_1</t>
  </si>
  <si>
    <t>Convert2</t>
  </si>
  <si>
    <t>Context:Funnels - Summary|
Category_Metric_KPI:Use|
Brands:@Funnel_brand_1</t>
  </si>
  <si>
    <t>Convert3</t>
  </si>
  <si>
    <t>Context:Funnels - Summary|
Category_Metric_KPI:Use most often|
Brands:@Funnel_brand_1</t>
  </si>
  <si>
    <t>Convert4</t>
  </si>
  <si>
    <t>Context:Funnels - Summary|
Category_Metric_KPI:Total Awareness|
Brands:@Funnel_brand_2</t>
  </si>
  <si>
    <t>Context:Funnels - Summary|
Category_Metric_KPI:Tried|
Brands:@Funnel_brand_2</t>
  </si>
  <si>
    <t>Convert5</t>
  </si>
  <si>
    <t>Context:Funnels - Summary|
Category_Metric_KPI:Use|
Brands:@Funnel_brand_2</t>
  </si>
  <si>
    <t>Convert6</t>
  </si>
  <si>
    <t>Context:Funnels - Summary|
Category_Metric_KPI:Use most often|
Brands:@Funnel_brand_2</t>
  </si>
  <si>
    <t>Convert7</t>
  </si>
  <si>
    <t>Context:Funnels - Summary|
Category_Metric_KPI:Total Awareness|
Brands:@Funnel_brand_3</t>
  </si>
  <si>
    <t>Context:Funnels - Summary|
Category_Metric_KPI:Tried|
Brands:@Funnel_brand_3</t>
  </si>
  <si>
    <t>Convert8</t>
  </si>
  <si>
    <t>Context:Funnels - Summary|
Category_Metric_KPI:Use|
Brands:@Funnel_brand_3</t>
  </si>
  <si>
    <t>Convert9</t>
  </si>
  <si>
    <t>Context:Funnels - Summary|
Category_Metric_KPI:Use most often|
Brands:@Funnel_brand_3</t>
  </si>
  <si>
    <t>Convert10</t>
  </si>
  <si>
    <t>Context:Funnels - Summary|
Category_Metric_KPI:Total Awareness|
Brands:@Funnel_brand_4</t>
  </si>
  <si>
    <t>Context:Funnels - Summary|
Category_Metric_KPI:Tried|
Brands:@Funnel_brand_4</t>
  </si>
  <si>
    <t>Convert11</t>
  </si>
  <si>
    <t>Context:Funnels - Summary|
Category_Metric_KPI:Use|
Brands:@Funnel_brand_4</t>
  </si>
  <si>
    <t>Convert12</t>
  </si>
  <si>
    <t>Context:Funnels - Summary|
Category_Metric_KPI:Use most often|
Brands:@Funnel_brand_4</t>
  </si>
  <si>
    <t>Convert13</t>
  </si>
  <si>
    <t>Context:Funnels - Summary|
Category_Metric_KPI:Total Awareness|
Brands:@Funnel_brand_5</t>
  </si>
  <si>
    <t>Context:Funnels - Summary|
Category_Metric_KPI:Tried|
Brands:@Funnel_brand_5</t>
  </si>
  <si>
    <t>Convert14</t>
  </si>
  <si>
    <t>Context:Funnels - Summary|
Category_Metric_KPI:Use|
Brands:@Funnel_brand_5</t>
  </si>
  <si>
    <t>Convert15</t>
  </si>
  <si>
    <t>Context:Funnels - Summary|
Category_Metric_KPI:Use most often|
Brands:@Funnel_brand_5</t>
  </si>
  <si>
    <t>Convert16</t>
  </si>
  <si>
    <t>Context:Funnels - Summary|
Category_Metric_KPI:Total Awareness|
Brands:@Funnel_brand_6</t>
  </si>
  <si>
    <t>Context:Funnels - Summary|
Category_Metric_KPI:Tried|
Brands:@Funnel_brand_6</t>
  </si>
  <si>
    <t>Convert17</t>
  </si>
  <si>
    <t>Context:Funnels - Summary|
Category_Metric_KPI:Use|
Brands:@Funnel_brand_6</t>
  </si>
  <si>
    <t>Convert18</t>
  </si>
  <si>
    <t>Context:Funnels - Summary|
Category_Metric_KPI:Use most often|
Brands:@Funnel_brand_6</t>
  </si>
  <si>
    <t>TextBox_10</t>
  </si>
  <si>
    <t>Datacut1-Datacut2</t>
  </si>
  <si>
    <t xml:space="preserve">Context:Power SigTest|
Category_Metric_KPI:Power|
Time_Period:@Timeperiod_1|Brands:@Brands_list_p_10
</t>
  </si>
  <si>
    <t xml:space="preserve">Context:Power SigTest|
Category_Metric_KPI:Power|
Time_Period:@Timeperiod_2|Brands:@Brands_list_p_10
</t>
  </si>
  <si>
    <t>TextBox_11</t>
  </si>
  <si>
    <t xml:space="preserve">Context:Power SigTest|
Category_Metric_KPI:Power|
Time_Period:@Timeperiod_1|Brands:@Brands_list_p_11
</t>
  </si>
  <si>
    <t xml:space="preserve">Context:Power SigTest|
Category_Metric_KPI:Power|
Time_Period:@Timeperiod_2|Brands:@Brands_list_p_11
</t>
  </si>
  <si>
    <t>TextBox_12</t>
  </si>
  <si>
    <t xml:space="preserve">Context:Meaningful SigTest|
Category_Metric_KPI:Meaningful|
Time_Period:@Timeperiod_1|Brands:@Brands_list_p_1
</t>
  </si>
  <si>
    <t xml:space="preserve">Context:Meaningful SigTest|
Category_Metric_KPI:Meaningful|
Time_Period:@Timeperiod_2|Brands:@Brands_list_p_1
</t>
  </si>
  <si>
    <t>TextBox_13</t>
  </si>
  <si>
    <t xml:space="preserve">Context:Different SigTest|
Category_Metric_KPI:Different|
Time_Period:@Timeperiod_1|Brands:@Brands_list_p_1
</t>
  </si>
  <si>
    <t xml:space="preserve">Context:Different SigTest|
Category_Metric_KPI:Different|
Time_Period:@Timeperiod_2|Brands:@Brands_list_p_1
</t>
  </si>
  <si>
    <t>TextBox_14</t>
  </si>
  <si>
    <t xml:space="preserve">Context:Salient SigTest|
Category_Metric_KPI:Salient|
Time_Period:@Timeperiod_1|Brands:@Brands_list_p_1
</t>
  </si>
  <si>
    <t xml:space="preserve">Context:Salient SigTest|
Category_Metric_KPI:Salient|
Time_Period:@Timeperiod_2|Brands:@Brands_list_p_1
</t>
  </si>
  <si>
    <t>TextBox_15</t>
  </si>
  <si>
    <t xml:space="preserve">Context:Meaningful SigTest|
Category_Metric_KPI:Meaningful|
Time_Period:@Timeperiod_1|Brands:@Brands_list_p_2
</t>
  </si>
  <si>
    <t xml:space="preserve">Context:Meaningful SigTest|
Category_Metric_KPI:Meaningful|
Time_Period:@Timeperiod_2|Brands:@Brands_list_p_2
</t>
  </si>
  <si>
    <t>TextBox_16</t>
  </si>
  <si>
    <t xml:space="preserve">Context:Different SigTest|
Category_Metric_KPI:Different|
Time_Period:@Timeperiod_1|Brands:@Brands_list_p_2
</t>
  </si>
  <si>
    <t xml:space="preserve">Context:Different SigTest|
Category_Metric_KPI:Different|
Time_Period:@Timeperiod_2|Brands:@Brands_list_p_2
</t>
  </si>
  <si>
    <t>TextBox_17</t>
  </si>
  <si>
    <t xml:space="preserve">Context:Salient SigTest|
Category_Metric_KPI:Salient|
Time_Period:@Timeperiod_1|Brands:@Brands_list_p_2
</t>
  </si>
  <si>
    <t xml:space="preserve">Context:Salient SigTest|
Category_Metric_KPI:Salient|
Time_Period:@Timeperiod_2|Brands:@Brands_list_p_2
</t>
  </si>
  <si>
    <t>TextBox_18</t>
  </si>
  <si>
    <t xml:space="preserve">Context:Meaningful SigTest|
Category_Metric_KPI:Meaningful|
Time_Period:@Timeperiod_1|Brands:@Brands_list_p_3
</t>
  </si>
  <si>
    <t xml:space="preserve">Context:Meaningful SigTest|
Category_Metric_KPI:Meaningful|
Time_Period:@Timeperiod_2|Brands:@Brands_list_p_3
</t>
  </si>
  <si>
    <t>TextBox_19</t>
  </si>
  <si>
    <t xml:space="preserve">Context:Different SigTest|
Category_Metric_KPI:Different|
Time_Period:@Timeperiod_1|Brands:@Brands_list_p_3
</t>
  </si>
  <si>
    <t xml:space="preserve">Context:Different SigTest|
Category_Metric_KPI:Different|
Time_Period:@Timeperiod_2|Brands:@Brands_list_p_3
</t>
  </si>
  <si>
    <t>TextBox_20</t>
  </si>
  <si>
    <t xml:space="preserve">Context:Salient SigTest|
Category_Metric_KPI:Salient|
Time_Period:@Timeperiod_1|Brands:@Brands_list_p_3
</t>
  </si>
  <si>
    <t xml:space="preserve">Context:Salient SigTest|
Category_Metric_KPI:Salient|
Time_Period:@Timeperiod_2|Brands:@Brands_list_p_3
</t>
  </si>
  <si>
    <t>TextBox_21</t>
  </si>
  <si>
    <t xml:space="preserve">Context:Meaningful SigTest|
Category_Metric_KPI:Meaningful|
Time_Period:@Timeperiod_1|Brands:@Brands_list_p_4
</t>
  </si>
  <si>
    <t xml:space="preserve">Context:Meaningful SigTest|
Category_Metric_KPI:Meaningful|
Time_Period:@Timeperiod_2|Brands:@Brands_list_p_4
</t>
  </si>
  <si>
    <t>TextBox_22</t>
  </si>
  <si>
    <t xml:space="preserve">Context:Different SigTest|
Category_Metric_KPI:Different|
Time_Period:@Timeperiod_1|Brands:@Brands_list_p_4
</t>
  </si>
  <si>
    <t xml:space="preserve">Context:Different SigTest|
Category_Metric_KPI:Different|
Time_Period:@Timeperiod_2|Brands:@Brands_list_p_4
</t>
  </si>
  <si>
    <t>TextBox_23</t>
  </si>
  <si>
    <t xml:space="preserve">Context:Salient SigTest|
Category_Metric_KPI:Salient|
Time_Period:@Timeperiod_1|Brands:@Brands_list_p_4
</t>
  </si>
  <si>
    <t xml:space="preserve">Context:Salient SigTest|
Category_Metric_KPI:Salient|
Time_Period:@Timeperiod_2|Brands:@Brands_list_p_4
</t>
  </si>
  <si>
    <t>TextBox_24</t>
  </si>
  <si>
    <t xml:space="preserve">Context:Meaningful SigTest|
Category_Metric_KPI:Meaningful|
Time_Period:@Timeperiod_1|Brands:@Brands_list_p_5
</t>
  </si>
  <si>
    <t xml:space="preserve">Context:Meaningful SigTest|
Category_Metric_KPI:Meaningful|
Time_Period:@Timeperiod_2|Brands:@Brands_list_p_5
</t>
  </si>
  <si>
    <t>TextBox_25</t>
  </si>
  <si>
    <t xml:space="preserve">Context:Different SigTest|
Category_Metric_KPI:Different|
Time_Period:@Timeperiod_1|Brands:@Brands_list_p_5
</t>
  </si>
  <si>
    <t xml:space="preserve">Context:Different SigTest|
Category_Metric_KPI:Different|
Time_Period:@Timeperiod_2|Brands:@Brands_list_p_5
</t>
  </si>
  <si>
    <t>TextBox_26</t>
  </si>
  <si>
    <t xml:space="preserve">Context:Salient SigTest|
Category_Metric_KPI:Salient|
Time_Period:@Timeperiod_1|Brands:@Brands_list_p_5
</t>
  </si>
  <si>
    <t xml:space="preserve">Context:Salient SigTest|
Category_Metric_KPI:Salient|
Time_Period:@Timeperiod_2|Brands:@Brands_list_p_5
</t>
  </si>
  <si>
    <t>TextBox_27</t>
  </si>
  <si>
    <t xml:space="preserve">Context:Meaningful SigTest|
Category_Metric_KPI:Meaningful|
Time_Period:@Timeperiod_1|Brands:@Brands_list_p_6
</t>
  </si>
  <si>
    <t xml:space="preserve">Context:Meaningful SigTest|
Category_Metric_KPI:Meaningful|
Time_Period:@Timeperiod_2|Brands:@Brands_list_p_6
</t>
  </si>
  <si>
    <t>TextBox_28</t>
  </si>
  <si>
    <t xml:space="preserve">Context:Different SigTest|
Category_Metric_KPI:Different|
Time_Period:@Timeperiod_1|Brands:@Brands_list_p_6
</t>
  </si>
  <si>
    <t xml:space="preserve">Context:Different SigTest|
Category_Metric_KPI:Different|
Time_Period:@Timeperiod_2|Brands:@Brands_list_p_6
</t>
  </si>
  <si>
    <t>TextBox_29</t>
  </si>
  <si>
    <t xml:space="preserve">Context:Salient SigTest|
Category_Metric_KPI:Salient|
Time_Period:@Timeperiod_1|Brands:@Brands_list_p_6
</t>
  </si>
  <si>
    <t xml:space="preserve">Context:Salient SigTest|
Category_Metric_KPI:Salient|
Time_Period:@Timeperiod_2|Brands:@Brands_list_p_6
</t>
  </si>
  <si>
    <t>TextBox_30</t>
  </si>
  <si>
    <t xml:space="preserve">Context:Meaningful SigTest|
Category_Metric_KPI:Meaningful|
Time_Period:@Timeperiod_1|Brands:@Brands_list_p_7
</t>
  </si>
  <si>
    <t xml:space="preserve">Context:Meaningful SigTest|
Category_Metric_KPI:Meaningful|
Time_Period:@Timeperiod_2|Brands:@Brands_list_p_7
</t>
  </si>
  <si>
    <t>TextBox_31</t>
  </si>
  <si>
    <t xml:space="preserve">Context:Different SigTest|
Category_Metric_KPI:Different|
Time_Period:@Timeperiod_1|Brands:@Brands_list_p_7
</t>
  </si>
  <si>
    <t xml:space="preserve">Context:Different SigTest|
Category_Metric_KPI:Different|
Time_Period:@Timeperiod_2|Brands:@Brands_list_p_7
</t>
  </si>
  <si>
    <t>TextBox_32</t>
  </si>
  <si>
    <t xml:space="preserve">Context:Salient SigTest|
Category_Metric_KPI:Salient|
Time_Period:@Timeperiod_1|Brands:@Brands_list_p_7
</t>
  </si>
  <si>
    <t xml:space="preserve">Context:Salient SigTest|
Category_Metric_KPI:Salient|
Time_Period:@Timeperiod_2|Brands:@Brands_list_p_7
</t>
  </si>
  <si>
    <t>TextBox_33</t>
  </si>
  <si>
    <t xml:space="preserve">Context:Meaningful SigTest|
Category_Metric_KPI:Meaningful|
Time_Period:@Timeperiod_1|Brands:@Brands_list_p_8
</t>
  </si>
  <si>
    <t xml:space="preserve">Context:Meaningful SigTest|
Category_Metric_KPI:Meaningful|
Time_Period:@Timeperiod_2|Brands:@Brands_list_p_8
</t>
  </si>
  <si>
    <t>TextBox_34</t>
  </si>
  <si>
    <t xml:space="preserve">Context:Different SigTest|
Category_Metric_KPI:Different|
Time_Period:@Timeperiod_1|Brands:@Brands_list_p_8
</t>
  </si>
  <si>
    <t xml:space="preserve">Context:Different SigTest|
Category_Metric_KPI:Different|
Time_Period:@Timeperiod_2|Brands:@Brands_list_p_8
</t>
  </si>
  <si>
    <t>TextBox_35</t>
  </si>
  <si>
    <t xml:space="preserve">Context:Salient SigTest|
Category_Metric_KPI:Salient|
Time_Period:@Timeperiod_1|Brands:@Brands_list_p_8
</t>
  </si>
  <si>
    <t xml:space="preserve">Context:Salient SigTest|
Category_Metric_KPI:Salient|
Time_Period:@Timeperiod_2|Brands:@Brands_list_p_8
</t>
  </si>
  <si>
    <t>TextBox_36</t>
  </si>
  <si>
    <t xml:space="preserve">Context:Meaningful SigTest|
Category_Metric_KPI:Meaningful|
Time_Period:@Timeperiod_1|Brands:@Brands_list_p_9
</t>
  </si>
  <si>
    <t xml:space="preserve">Context:Meaningful SigTest|
Category_Metric_KPI:Meaningful|
Time_Period:@Timeperiod_2|Brands:@Brands_list_p_9
</t>
  </si>
  <si>
    <t>TextBox_37</t>
  </si>
  <si>
    <t xml:space="preserve">Context:Different SigTest|
Category_Metric_KPI:Different|
Time_Period:@Timeperiod_1|Brands:@Brands_list_p_9
</t>
  </si>
  <si>
    <t xml:space="preserve">Context:Different SigTest|
Category_Metric_KPI:Different|
Time_Period:@Timeperiod_2|Brands:@Brands_list_p_9
</t>
  </si>
  <si>
    <t>TextBox_38</t>
  </si>
  <si>
    <t xml:space="preserve">Context:Salient SigTest|
Category_Metric_KPI:Salient|
Time_Period:@Timeperiod_1|Brands:@Brands_list_p_9
</t>
  </si>
  <si>
    <t xml:space="preserve">Context:Salient SigTest|
Category_Metric_KPI:Salient|
Time_Period:@Timeperiod_2|Brands:@Brands_list_p_9
</t>
  </si>
  <si>
    <t>TextBox_39</t>
  </si>
  <si>
    <t xml:space="preserve">Context:Meaningful SigTest|
Category_Metric_KPI:Meaningful|
Time_Period:@Timeperiod_1|Brands:@Brands_list_p_10
</t>
  </si>
  <si>
    <t xml:space="preserve">Context:Meaningful SigTest|
Category_Metric_KPI:Meaningful|
Time_Period:@Timeperiod_2|Brands:@Brands_list_p_10
</t>
  </si>
  <si>
    <t>TextBox_40</t>
  </si>
  <si>
    <t xml:space="preserve">Context:Different SigTest|
Category_Metric_KPI:Different|
Time_Period:@Timeperiod_1|Brands:@Brands_list_p_10
</t>
  </si>
  <si>
    <t xml:space="preserve">Context:Different SigTest|
Category_Metric_KPI:Different|
Time_Period:@Timeperiod_2|Brands:@Brands_list_p_10
</t>
  </si>
  <si>
    <t>TextBox_41</t>
  </si>
  <si>
    <t xml:space="preserve">Context:Salient SigTest|
Category_Metric_KPI:Salient|
Time_Period:@Timeperiod_1|Brands:@Brands_list_p_10
</t>
  </si>
  <si>
    <t xml:space="preserve">Context:Salient SigTest|
Category_Metric_KPI:Salient|
Time_Period:@Timeperiod_2|Brands:@Brands_list_p_10
</t>
  </si>
  <si>
    <t>TextBox_42</t>
  </si>
  <si>
    <t xml:space="preserve">Context:Meaningful SigTest|
Category_Metric_KPI:Meaningful|
Time_Period:@Timeperiod_1|Brands:@Brands_list_p_11
</t>
  </si>
  <si>
    <t xml:space="preserve">Context:Meaningful SigTest|
Category_Metric_KPI:Meaningful|
Time_Period:@Timeperiod_2|Brands:@Brands_list_p_11
</t>
  </si>
  <si>
    <t>TextBox_43</t>
  </si>
  <si>
    <t xml:space="preserve">Context:Different SigTest|
Category_Metric_KPI:Different|
Time_Period:@Timeperiod_1|Brands:@Brands_list_p_11
</t>
  </si>
  <si>
    <t xml:space="preserve">Context:Different SigTest|
Category_Metric_KPI:Different|
Time_Period:@Timeperiod_2|Brands:@Brands_list_p_11
</t>
  </si>
  <si>
    <t>TextBox_44</t>
  </si>
  <si>
    <t xml:space="preserve">Context:Salient SigTest|
Category_Metric_KPI:Salient|
Time_Period:@Timeperiod_1|Brands:@Brands_list_p_11
</t>
  </si>
  <si>
    <t xml:space="preserve">Context:Salient SigTest|
Category_Metric_KPI:Salient|
Time_Period:@Timeperiod_2|Brands:@Brands_list_p_11
</t>
  </si>
  <si>
    <t>Brand_1</t>
  </si>
  <si>
    <t>@Brands_list_p_1</t>
  </si>
  <si>
    <t>Brand_2</t>
  </si>
  <si>
    <t>@Brands_list_p_2</t>
  </si>
  <si>
    <t>Brand_3</t>
  </si>
  <si>
    <t>@Brands_list_p_3</t>
  </si>
  <si>
    <t>Brand_4</t>
  </si>
  <si>
    <t>@Brands_list_p_4</t>
  </si>
  <si>
    <t>Brand_5</t>
  </si>
  <si>
    <t>@Brands_list_p_5</t>
  </si>
  <si>
    <t>Brand_6</t>
  </si>
  <si>
    <t>@Brands_list_p_6</t>
  </si>
  <si>
    <t>Brand_7</t>
  </si>
  <si>
    <t>@Brands_list_p_7</t>
  </si>
  <si>
    <t>Brand_8</t>
  </si>
  <si>
    <t>@Brands_list_p_8</t>
  </si>
  <si>
    <t>Brand_9</t>
  </si>
  <si>
    <t>@Brands_list_p_9</t>
  </si>
  <si>
    <t>Brand_10</t>
  </si>
  <si>
    <t>@Brands_list_p_10</t>
  </si>
  <si>
    <t>Brand_11</t>
  </si>
  <si>
    <t>@Brands_list_p_11</t>
  </si>
  <si>
    <t>Action Name</t>
  </si>
  <si>
    <t>Shape Name</t>
  </si>
  <si>
    <t>Shape Type</t>
  </si>
  <si>
    <t>Action Data</t>
  </si>
  <si>
    <t>Data Column</t>
  </si>
  <si>
    <t>Data Value</t>
  </si>
  <si>
    <t>Chart</t>
  </si>
  <si>
    <t>Chart_1</t>
  </si>
  <si>
    <t>TextBox</t>
  </si>
  <si>
    <t>Textbox_1</t>
  </si>
  <si>
    <t>Powerbox_1</t>
  </si>
  <si>
    <t>Powerbox_2</t>
  </si>
  <si>
    <t>CategoryChart1</t>
  </si>
  <si>
    <t>Data Cut_L2</t>
  </si>
  <si>
    <t>CategoryChart2</t>
  </si>
  <si>
    <t>CategoryChart3</t>
  </si>
  <si>
    <t>CategoryChart4</t>
  </si>
  <si>
    <t>TITLE</t>
  </si>
  <si>
    <t>Header</t>
  </si>
  <si>
    <t>FunctionalChart1</t>
  </si>
  <si>
    <t>FunctionalChart2</t>
  </si>
  <si>
    <t>FunctionalChart3</t>
  </si>
  <si>
    <t>FunctionalChart4</t>
  </si>
  <si>
    <t>EmotionalChart1</t>
  </si>
  <si>
    <t>EmotionalChart2</t>
  </si>
  <si>
    <t>EmotionalChart3</t>
  </si>
  <si>
    <t>EmotionalChart4</t>
  </si>
  <si>
    <t>DemandChart1</t>
  </si>
  <si>
    <t>DemandChart2</t>
  </si>
  <si>
    <t>DemandChart3</t>
  </si>
  <si>
    <t>DemandChart4</t>
  </si>
  <si>
    <t>ActivityChart1</t>
  </si>
  <si>
    <t>ActivityChart2</t>
  </si>
  <si>
    <t>ActivityChart3</t>
  </si>
  <si>
    <t>ActivityChart4</t>
  </si>
  <si>
    <t>Chart1</t>
  </si>
  <si>
    <t>Chart2</t>
  </si>
  <si>
    <t>Chart3</t>
  </si>
  <si>
    <t>Chart4</t>
  </si>
  <si>
    <t>Chart5</t>
  </si>
  <si>
    <t>Chart6</t>
  </si>
  <si>
    <t>Chart7</t>
  </si>
  <si>
    <t>Chart8</t>
  </si>
  <si>
    <t>Chart9</t>
  </si>
  <si>
    <t>Text1</t>
  </si>
  <si>
    <t>Text2</t>
  </si>
  <si>
    <t>Text3</t>
  </si>
  <si>
    <t>Text4</t>
  </si>
  <si>
    <t>Text5</t>
  </si>
  <si>
    <t>Text6</t>
  </si>
  <si>
    <t>Text7</t>
  </si>
  <si>
    <t>Text8</t>
  </si>
  <si>
    <t>Text9</t>
  </si>
  <si>
    <t>Area</t>
  </si>
  <si>
    <t>Age</t>
  </si>
  <si>
    <t>Where</t>
  </si>
  <si>
    <t>SEM</t>
  </si>
  <si>
    <t>Race</t>
  </si>
  <si>
    <t>Brand_Header</t>
  </si>
  <si>
    <t>Base_PQ</t>
  </si>
  <si>
    <t>Base_CQ</t>
  </si>
  <si>
    <t>Demand_Space</t>
  </si>
  <si>
    <t>Activity</t>
  </si>
  <si>
    <t>Emotional_Needs_1</t>
  </si>
  <si>
    <t>Emotional_Needs_2</t>
  </si>
  <si>
    <t>Functional_Needs_1</t>
  </si>
  <si>
    <t>Functional_Needs_2</t>
  </si>
  <si>
    <t>Group_size</t>
  </si>
  <si>
    <t>Who_with</t>
  </si>
  <si>
    <t>Where_bought</t>
  </si>
  <si>
    <t>Who_bought</t>
  </si>
  <si>
    <t>Frequency</t>
  </si>
  <si>
    <t>Volume</t>
  </si>
  <si>
    <t>Beverage_Category</t>
  </si>
  <si>
    <t>Accompaniments</t>
  </si>
  <si>
    <t>Table</t>
  </si>
  <si>
    <t>Fruits of the Forest</t>
  </si>
  <si>
    <t>Lancewood</t>
  </si>
  <si>
    <t>Sip Up</t>
  </si>
  <si>
    <t>Nutrikids</t>
  </si>
  <si>
    <t>Fair Cape</t>
  </si>
  <si>
    <t>Authentikos</t>
  </si>
  <si>
    <t>Significance testing column</t>
  </si>
  <si>
    <t>Significance testing base value</t>
  </si>
  <si>
    <t>Significance testing value column</t>
  </si>
  <si>
    <t>Filter</t>
  </si>
  <si>
    <t>Division</t>
  </si>
  <si>
    <t>Time_period_current</t>
  </si>
  <si>
    <t>Current base value</t>
  </si>
  <si>
    <t>Time_period_previous</t>
  </si>
  <si>
    <t>Previous base value</t>
  </si>
  <si>
    <t>Time_period_column</t>
  </si>
  <si>
    <t>Minimum_value_difference</t>
  </si>
  <si>
    <t>Minimum_base_value</t>
  </si>
  <si>
    <t>Study_type</t>
  </si>
  <si>
    <t>Significant at</t>
  </si>
  <si>
    <t>Z Score</t>
  </si>
  <si>
    <t>Group_name</t>
  </si>
  <si>
    <t>Q2'23</t>
  </si>
  <si>
    <t>Q1'23</t>
  </si>
  <si>
    <t>Time_Period</t>
  </si>
  <si>
    <t>Power+MDS</t>
  </si>
  <si>
    <t>Sig test Comparision Column</t>
  </si>
  <si>
    <t>value1</t>
  </si>
  <si>
    <t>value2</t>
  </si>
  <si>
    <t>Wave4</t>
  </si>
  <si>
    <t>Wave3</t>
  </si>
  <si>
    <t>Sig_test</t>
  </si>
  <si>
    <t>Significant letter column</t>
  </si>
  <si>
    <t>Ignore columns</t>
  </si>
  <si>
    <t>TimePeriod</t>
  </si>
  <si>
    <t>Dip/Wave 2</t>
  </si>
  <si>
    <t>Dip/Wave 1</t>
  </si>
  <si>
    <t>Sigtst_cols</t>
  </si>
  <si>
    <t>Columns to Exclude</t>
  </si>
  <si>
    <t>SigTest Result Column</t>
  </si>
  <si>
    <t>Source Filter</t>
  </si>
  <si>
    <t>Destination Filter</t>
  </si>
  <si>
    <t>Data Source</t>
  </si>
  <si>
    <t>Business Context</t>
  </si>
  <si>
    <t>Object Type</t>
  </si>
  <si>
    <t>Text/Shape Config</t>
  </si>
  <si>
    <t>Data Format</t>
  </si>
  <si>
    <t>Chart Functions</t>
  </si>
  <si>
    <t>Shape Functions</t>
  </si>
  <si>
    <t>Table Functions</t>
  </si>
  <si>
    <t>Static Workbook</t>
  </si>
  <si>
    <t>Latest Workbook</t>
  </si>
  <si>
    <t>Sorting Format</t>
  </si>
  <si>
    <t>Pre Processing Services</t>
  </si>
  <si>
    <t>Banner1</t>
  </si>
  <si>
    <t>Banner2</t>
  </si>
  <si>
    <t>Beast1</t>
  </si>
  <si>
    <t>Beast2</t>
  </si>
  <si>
    <t>Beast3</t>
  </si>
  <si>
    <t>Beast4</t>
  </si>
  <si>
    <t>Beast5</t>
  </si>
  <si>
    <t>Text Configurations</t>
  </si>
  <si>
    <t>Shape color</t>
  </si>
  <si>
    <t>data_prep_chart_std_reverse</t>
  </si>
  <si>
    <t>Bread Set 1</t>
  </si>
  <si>
    <t>Breads_AD3R32_RFS_202228_Set1_V2.xlsx</t>
  </si>
  <si>
    <t>COFFEE</t>
  </si>
  <si>
    <t>Banner10</t>
  </si>
  <si>
    <t>Presentation</t>
  </si>
  <si>
    <t>Fill</t>
  </si>
  <si>
    <t>Up</t>
  </si>
  <si>
    <t>1 decimal *100 (+-)</t>
  </si>
  <si>
    <t>average</t>
  </si>
  <si>
    <t>textbox_total_footer</t>
  </si>
  <si>
    <t>Bread Set 2</t>
  </si>
  <si>
    <t>Breads_AD3R32_RFS_202228_Set2_V2.xlsx</t>
  </si>
  <si>
    <t>PP_cal_data</t>
  </si>
  <si>
    <t>CREAMERS</t>
  </si>
  <si>
    <t>Banner9</t>
  </si>
  <si>
    <t>Q1'22</t>
  </si>
  <si>
    <t>Q2'22</t>
  </si>
  <si>
    <t>Q3'22</t>
  </si>
  <si>
    <t>Q4'22</t>
  </si>
  <si>
    <t>Inhouse Range</t>
  </si>
  <si>
    <t>Bug</t>
  </si>
  <si>
    <t>Chart - Bubble</t>
  </si>
  <si>
    <t>Text Placeholder</t>
  </si>
  <si>
    <t>Border</t>
  </si>
  <si>
    <t>Down</t>
  </si>
  <si>
    <t>1decimal</t>
  </si>
  <si>
    <t>count</t>
  </si>
  <si>
    <t>data_prep_chart_bubble</t>
  </si>
  <si>
    <t>txtbx_total_footer_Time_Region</t>
  </si>
  <si>
    <t>Bread Set 3</t>
  </si>
  <si>
    <t>Breads_AD3R32_RFS_202228_Set3_V2.xlsx</t>
  </si>
  <si>
    <t>PP_col_split</t>
  </si>
  <si>
    <t>CHOCOLATES</t>
  </si>
  <si>
    <t>External Range</t>
  </si>
  <si>
    <t>Chart Data</t>
  </si>
  <si>
    <t>ABC Lager</t>
  </si>
  <si>
    <t>Chart - Scatter</t>
  </si>
  <si>
    <t>Text</t>
  </si>
  <si>
    <t>Left</t>
  </si>
  <si>
    <t>1decimal /100</t>
  </si>
  <si>
    <t>min</t>
  </si>
  <si>
    <t>data_prep_chart_scatter</t>
  </si>
  <si>
    <t>Bread BEAST H2'22</t>
  </si>
  <si>
    <t>Bread_H2'22_ad3r32_beast_202211_202213.xlsx</t>
  </si>
  <si>
    <t>PP_add_map</t>
  </si>
  <si>
    <t>POWDERED AND UHT MILK</t>
  </si>
  <si>
    <t>Right</t>
  </si>
  <si>
    <t>max</t>
  </si>
  <si>
    <t>Bread BEAST H2'21</t>
  </si>
  <si>
    <t>Bread_H2'21_ad3r32_beast_202114_202139.xlsx</t>
  </si>
  <si>
    <t>PP_col_pick</t>
  </si>
  <si>
    <t>INFANT CEREAL</t>
  </si>
  <si>
    <t>Bread BEAST H1'22</t>
  </si>
  <si>
    <t>Bread_H1'22_ad3r32_beast_202211_202213.xlsx</t>
  </si>
  <si>
    <t>PP_filter_data</t>
  </si>
  <si>
    <t>GROWING UP MILK</t>
  </si>
  <si>
    <t>Zerodecimal /100</t>
  </si>
  <si>
    <t>Bread BEAST H1'21</t>
  </si>
  <si>
    <t>Bread_H1'21_ad3r32_beast_202048_202112_V2.xlsx</t>
  </si>
  <si>
    <t>NOODLES</t>
  </si>
  <si>
    <t>2decimal</t>
  </si>
  <si>
    <t>Bread User Profile</t>
  </si>
  <si>
    <t>Bread Demographic profiles FY22.xlsx</t>
  </si>
  <si>
    <t>Flavoured milk</t>
  </si>
  <si>
    <t>INFANT FORMULA</t>
  </si>
  <si>
    <t>2decimal /100</t>
  </si>
  <si>
    <t>Culinary milks</t>
  </si>
  <si>
    <t>Workbook</t>
  </si>
  <si>
    <t>Used Range</t>
  </si>
  <si>
    <t>Columns</t>
  </si>
  <si>
    <t>Rows1</t>
  </si>
  <si>
    <t>Rows2</t>
  </si>
  <si>
    <t>Rows3</t>
  </si>
  <si>
    <t>Rows4</t>
  </si>
  <si>
    <t>Config Context</t>
  </si>
  <si>
    <t>No of rows</t>
  </si>
  <si>
    <t>Used columns</t>
  </si>
  <si>
    <t>Calculated columns</t>
  </si>
  <si>
    <t>Skip rows</t>
  </si>
  <si>
    <t>Range</t>
  </si>
  <si>
    <t>Column names</t>
  </si>
  <si>
    <t>Multi Index columns</t>
  </si>
  <si>
    <t>Delete columns</t>
  </si>
  <si>
    <t>Multiply</t>
  </si>
  <si>
    <t>Base Size</t>
  </si>
  <si>
    <t>Base Column</t>
  </si>
  <si>
    <t>Summary</t>
  </si>
  <si>
    <t>KPIs</t>
  </si>
  <si>
    <t>clover</t>
  </si>
  <si>
    <t>Summary Values &amp; Statistical Testing</t>
  </si>
  <si>
    <t>wad525f_beast_202333_202334.xlsx</t>
  </si>
  <si>
    <t>Total Sample</t>
  </si>
  <si>
    <t>Report:*clover|Time_Period:*Q2'23|Datacut_L1:*In_Post_Processing|Datacut_L2:*In_Post_Processing</t>
  </si>
  <si>
    <t>172,204</t>
  </si>
  <si>
    <t>A,B|Context,Category_Metric_KPI</t>
  </si>
  <si>
    <t>1|Brands</t>
  </si>
  <si>
    <t>MDS</t>
  </si>
  <si>
    <t>5,7</t>
  </si>
  <si>
    <t>Report:*clover|Time_Period:*Q2'23|Context:*Brand Image Profiles (excluding any negative statements)|Datacut_L1:*In_Post_Processing|Datacut_L2:*In_Post_Processing</t>
  </si>
  <si>
    <t>538,549</t>
  </si>
  <si>
    <t>A|Category_Metric_KPI</t>
  </si>
  <si>
    <t>ShareFlow</t>
  </si>
  <si>
    <t>Report:*clover|Time_Period:*Q2'23|Context:*ShareFlow|Datacut_L1:*In_Post_Processing|Datacut_L2:*In_Post_Processing</t>
  </si>
  <si>
    <t>367,397</t>
  </si>
  <si>
    <t>BIP</t>
  </si>
  <si>
    <t>Report:*clover|Time_Period:*Q2'23|Context:*CEP|Datacut_L1:*In_Post_Processing|Datacut_L2:*In_Post_Processing</t>
  </si>
  <si>
    <t>798,805</t>
  </si>
  <si>
    <t>Brand Image - Absolute endorsements</t>
  </si>
  <si>
    <t>Report:*clover|Time_Period:*Q2'23|Context:*Brand Image Absolute endorsements|Datacut_L1:*In_Post_Processing|Datacut_L2:*In_Post_Processing</t>
  </si>
  <si>
    <t>408,419</t>
  </si>
  <si>
    <t>claimedMarketShare</t>
  </si>
  <si>
    <t>Report:*clover|Time_Period:*Q2'23|Context:*MarketShare|Datacut_L1:*In_Post_Processing|Datacut_L2:*In_Post_Processing</t>
  </si>
  <si>
    <t>226,226</t>
  </si>
  <si>
    <t>WAD525F_RFS_202334.xlsx</t>
  </si>
  <si>
    <t>TABLE_2</t>
  </si>
  <si>
    <t>Context:A4|Base:A5</t>
  </si>
  <si>
    <t>B|Category_Metric_KPI</t>
  </si>
  <si>
    <t>1,2|Datacut_L1,Datacut_L2</t>
  </si>
  <si>
    <t>Sig test 3 rows</t>
  </si>
  <si>
    <t>Age bands</t>
  </si>
  <si>
    <t>TABLE_4</t>
  </si>
  <si>
    <t>Customer typology</t>
  </si>
  <si>
    <t>TABLE_7</t>
  </si>
  <si>
    <t>TBCA</t>
  </si>
  <si>
    <t>TABLE_187</t>
  </si>
  <si>
    <t>2|Brands</t>
  </si>
  <si>
    <t>funnels</t>
  </si>
  <si>
    <t>TABLE_213</t>
  </si>
  <si>
    <t>ethnicity</t>
  </si>
  <si>
    <t>TABLE_370</t>
  </si>
  <si>
    <t>province</t>
  </si>
  <si>
    <t>TABLE_371</t>
  </si>
  <si>
    <t>sem</t>
  </si>
  <si>
    <t>TABLE_372</t>
  </si>
  <si>
    <t>purchase frequency</t>
  </si>
  <si>
    <t>TABLE_6</t>
  </si>
  <si>
    <t>kids age</t>
  </si>
  <si>
    <t>TABLE_369</t>
  </si>
  <si>
    <t>buying habit</t>
  </si>
  <si>
    <t>TABLE_368</t>
  </si>
  <si>
    <t>occasion</t>
  </si>
  <si>
    <t>TABLE_367</t>
  </si>
  <si>
    <t>fat content</t>
  </si>
  <si>
    <t>TABLE_366</t>
  </si>
  <si>
    <t>packs</t>
  </si>
  <si>
    <t>TABLE_365</t>
  </si>
  <si>
    <t>WAD522V_RFS_202334.xlsx</t>
  </si>
  <si>
    <t>TABLE_373</t>
  </si>
  <si>
    <t>TABLE_374</t>
  </si>
  <si>
    <t>juice category</t>
  </si>
  <si>
    <t>juice type</t>
  </si>
  <si>
    <t>when</t>
  </si>
  <si>
    <t>where</t>
  </si>
  <si>
    <t>Start_Worksheet</t>
  </si>
  <si>
    <t>End_Worksheet</t>
  </si>
  <si>
    <t>Primary_Q2_23.xlsx</t>
  </si>
  <si>
    <t>CEP</t>
  </si>
  <si>
    <t>798,816</t>
  </si>
  <si>
    <t>revolve</t>
  </si>
  <si>
    <t>Report:*revolve|Time_Period:*Q2'23|Context:*MarketShare|Datacut_L1:*In_Post_Processing|Datacut_L2:*In_Post_Processing</t>
  </si>
  <si>
    <t>Column</t>
  </si>
  <si>
    <t>Find</t>
  </si>
  <si>
    <t>Find text</t>
  </si>
  <si>
    <t>Find position</t>
  </si>
  <si>
    <t>Exact</t>
  </si>
  <si>
    <t>Multiple times a day (30)</t>
  </si>
  <si>
    <t>Multiple times a day</t>
  </si>
  <si>
    <t>Once a day (15)</t>
  </si>
  <si>
    <t>Once a day</t>
  </si>
  <si>
    <t>Several times a week (12)</t>
  </si>
  <si>
    <t>Several times a week</t>
  </si>
  <si>
    <t>Once a week (4)</t>
  </si>
  <si>
    <t>Once a week</t>
  </si>
  <si>
    <t>Once every two weeks (2)</t>
  </si>
  <si>
    <t>Once every 2 weeks</t>
  </si>
  <si>
    <t>Once a month (1)</t>
  </si>
  <si>
    <t>Once a month</t>
  </si>
  <si>
    <t>Contains</t>
  </si>
  <si>
    <t>Separator</t>
  </si>
  <si>
    <t>Instance</t>
  </si>
  <si>
    <t>First Split (Column)</t>
  </si>
  <si>
    <t>2nd Split (Column)</t>
  </si>
  <si>
    <t>3rd Split (Column)</t>
  </si>
  <si>
    <t>Manufacturer</t>
  </si>
  <si>
    <t>Price Tier</t>
  </si>
  <si>
    <t>Data point</t>
  </si>
  <si>
    <t>Datacut</t>
  </si>
  <si>
    <t>Calculation</t>
  </si>
  <si>
    <t>Operation</t>
  </si>
  <si>
    <t>Include</t>
  </si>
  <si>
    <t>Exclude</t>
  </si>
  <si>
    <t>Master</t>
  </si>
  <si>
    <t>Section:Section 2,Section 3,Section 5,Section 6,Section 8,Section 12,Section 13,Section 15,Section 20,Section 21,Section 21b,Section 22,Section 23,Section 24</t>
  </si>
  <si>
    <t>Features</t>
  </si>
  <si>
    <t>Priority1</t>
  </si>
  <si>
    <t>Priority2</t>
  </si>
  <si>
    <t>1. On the Fly arrows (updown)</t>
  </si>
  <si>
    <t>1. Functionality to add the text in all the shapes (having same name) in the entire deck (Client name, period etc)</t>
  </si>
  <si>
    <t>2. Colouring of chart series based on data</t>
  </si>
  <si>
    <t>2. Variables to be defined for the sorting order (@User need not to define the custom orders again)</t>
  </si>
  <si>
    <t>3. Identification of configs on the failure</t>
  </si>
  <si>
    <t>4. Bubble chart</t>
  </si>
  <si>
    <t>5. Code is not able to read the Area chart</t>
  </si>
  <si>
    <t>1. Bubble chart categories not populating</t>
  </si>
  <si>
    <t>2 In Text_shape_config we have "Coloring criteria", where as in Table_config we have "Formatting</t>
  </si>
  <si>
    <t>3. Significancd testing</t>
  </si>
  <si>
    <t>File name (Choclate Bar)</t>
  </si>
  <si>
    <t>Status</t>
  </si>
  <si>
    <t>Manual Alteration (if any)</t>
  </si>
  <si>
    <t>Comments</t>
  </si>
  <si>
    <t>PPT Template Setup</t>
  </si>
  <si>
    <t>1. Delete the extra column in all the Tables (Please refer to the snapshot)</t>
  </si>
  <si>
    <t>Manual Adjustment in Data files</t>
  </si>
  <si>
    <t>AD9BAA- Choc bars SEM run_ Middle class and above - Sheet (T1) and AD9BAA- Choc bars SEM run_ Mass Market</t>
  </si>
  <si>
    <t xml:space="preserve"> - Change the data foarmat of specific rows</t>
  </si>
  <si>
    <t>Data Consolidation</t>
  </si>
  <si>
    <t>Check all the tabs and thoroughly and change the configurations as per the data present in the respective tabs</t>
  </si>
  <si>
    <t>Configuration file</t>
  </si>
  <si>
    <t>Data_consol_Replace_Mapping</t>
  </si>
  <si>
    <t>Define the mapping as per the respective data</t>
  </si>
  <si>
    <t>Delivery Adjustment</t>
  </si>
  <si>
    <t>Slide 15</t>
  </si>
  <si>
    <t>Ungroup this chart, at the time of configurations</t>
  </si>
  <si>
    <t xml:space="preserve">Use this formula in series1 and series3 at the time of delivery (refer to the template). </t>
  </si>
  <si>
    <t>Slide_no</t>
  </si>
  <si>
    <t>Slide_id</t>
  </si>
  <si>
    <t>Respondent Unique Id</t>
  </si>
  <si>
    <t>dayofvisit</t>
  </si>
  <si>
    <t>RespondentId:@Respondent_Id_1</t>
  </si>
  <si>
    <t>Link's Source File</t>
  </si>
  <si>
    <t>Link's Source Sheet</t>
  </si>
  <si>
    <t>Link's Source Colunm</t>
  </si>
  <si>
    <t>Picture Name Colunm</t>
  </si>
  <si>
    <t>CONSOLIDATED_OUTPUT_DATA.csv</t>
  </si>
  <si>
    <t>CONSOLIDATED_OUTPUT_DATA</t>
  </si>
  <si>
    <t>picture</t>
  </si>
  <si>
    <t>RespondentId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</si>
</sst>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* #,##0.00_-;\-* #,##0.00_-;_-* &quot;-&quot;??_-;_-@_-"/>
  </numFmts>
  <fonts count="2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u/>
      <sz val="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9"/>
      <color rgb="FFFFFFFF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177B5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  <fill>
      <patternFill patternType="solid">
        <fgColor rgb="FF1F4E78"/>
        <bgColor rgb="FF000000"/>
      </patternFill>
    </fill>
    <fill>
      <patternFill patternType="solid">
        <fgColor rgb="FF2F75B5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theme="0" tint="-0.14987640003662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</patternFill>
    </fill>
    <fill>
      <patternFill patternType="solid">
        <fgColor rgb="FFFFFF00"/>
        <bgColor rgb="FF000000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3" tint="-0.249977111117893"/>
        <bgColor indexed="64"/>
      </patternFill>
    </fill>
  </fills>
  <borders count="34">
    <border>
      <left/>
      <right/>
      <top/>
      <bottom/>
      <diagonal/>
    </border>
    <border>
      <left style="medium">
        <color theme="0" tint="-0.1498764000366222"/>
      </left>
      <right/>
      <top/>
      <bottom/>
      <diagonal/>
    </border>
    <border>
      <left/>
      <right/>
      <top style="medium">
        <color theme="0" tint="-0.1498764000366222"/>
      </top>
      <bottom style="medium">
        <color theme="0" tint="-0.1498764000366222"/>
      </bottom>
      <diagonal/>
    </border>
    <border>
      <left/>
      <right style="medium">
        <color theme="0" tint="-0.1498764000366222"/>
      </right>
      <top style="medium">
        <color theme="0" tint="-0.1498764000366222"/>
      </top>
      <bottom style="medium">
        <color theme="0" tint="-0.1498764000366222"/>
      </bottom>
      <diagonal/>
    </border>
    <border>
      <left style="thin">
        <color theme="0" tint="-0.1498764000366222"/>
      </left>
      <right/>
      <top style="thin">
        <color theme="0" tint="-0.1498764000366222"/>
      </top>
      <bottom style="thin">
        <color theme="0" tint="-0.1498764000366222"/>
      </bottom>
      <diagonal/>
    </border>
    <border>
      <left/>
      <right/>
      <top style="thin">
        <color theme="0" tint="-0.1498764000366222"/>
      </top>
      <bottom style="thin">
        <color theme="0" tint="-0.1498764000366222"/>
      </bottom>
      <diagonal/>
    </border>
    <border>
      <left/>
      <right style="thin">
        <color theme="0" tint="-0.1498764000366222"/>
      </right>
      <top style="thin">
        <color theme="0" tint="-0.1498764000366222"/>
      </top>
      <bottom style="thin">
        <color theme="0" tint="-0.1498764000366222"/>
      </bottom>
      <diagonal/>
    </border>
    <border>
      <left style="thin">
        <color theme="0" tint="-0.1498764000366222"/>
      </left>
      <right/>
      <top style="thin">
        <color theme="0" tint="-0.1498764000366222"/>
      </top>
      <bottom style="medium">
        <color theme="0" tint="-0.1498764000366222"/>
      </bottom>
      <diagonal/>
    </border>
    <border>
      <left/>
      <right/>
      <top style="thin">
        <color theme="0" tint="-0.1498764000366222"/>
      </top>
      <bottom style="medium">
        <color theme="0" tint="-0.1498764000366222"/>
      </bottom>
      <diagonal/>
    </border>
    <border>
      <left/>
      <right/>
      <top style="thin">
        <color theme="0" tint="-0.1498764000366222"/>
      </top>
      <bottom/>
      <diagonal/>
    </border>
    <border>
      <left style="thin">
        <color theme="0" tint="-0.1498764000366222"/>
      </left>
      <right/>
      <top/>
      <bottom style="medium">
        <color theme="0" tint="-0.1498764000366222"/>
      </bottom>
      <diagonal/>
    </border>
    <border>
      <left/>
      <right/>
      <top/>
      <bottom style="medium">
        <color theme="0" tint="-0.1498764000366222"/>
      </bottom>
      <diagonal/>
    </border>
    <border>
      <left style="medium">
        <color theme="0" tint="-0.1498764000366222"/>
      </left>
      <right style="medium">
        <color theme="0" tint="-0.14987640003662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8764000366222"/>
      </top>
      <bottom style="thin">
        <color theme="0" tint="-0.1498764000366222"/>
      </bottom>
      <diagonal/>
    </border>
    <border>
      <left style="medium">
        <color theme="0" tint="-0.1498764000366222"/>
      </left>
      <right style="medium">
        <color theme="0" tint="-0.1498764000366222"/>
      </right>
      <top style="medium">
        <color theme="0" tint="-0.1498764000366222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medium">
        <color rgb="FFD9D9D9"/>
      </left>
      <right style="medium">
        <color rgb="FFD9D9D9"/>
      </right>
      <top style="medium">
        <color rgb="FFD9D9D9"/>
      </top>
      <bottom/>
      <diagonal/>
    </border>
    <border>
      <left style="medium">
        <color rgb="FFD9D9D9"/>
      </left>
      <right style="medium">
        <color rgb="FFD9D9D9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/>
      <right style="medium">
        <color theme="0" tint="-0.1498764000366222"/>
      </right>
      <top style="medium">
        <color theme="0" tint="-0.1498764000366222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theme="0" tint="-0.1498764000366222"/>
      </left>
      <right style="medium">
        <color theme="0" tint="-0.1498764000366222"/>
      </right>
      <top style="medium">
        <color theme="0" tint="-0.1498764000366222"/>
      </top>
      <bottom style="medium">
        <color theme="0" tint="-0.1498764000366222"/>
      </bottom>
      <diagonal/>
    </border>
    <border>
      <left style="medium">
        <color theme="0" tint="-0.1498764000366222"/>
      </left>
      <right style="medium">
        <color theme="0" tint="-0.1498764000366222"/>
      </right>
      <top style="medium">
        <color theme="0" tint="-0.1498764000366222"/>
      </top>
      <bottom/>
      <diagonal/>
    </border>
    <border>
      <left style="medium">
        <color theme="0" tint="-0.1498764000366222"/>
      </left>
      <right style="medium">
        <color theme="0" tint="-0.1498764000366222"/>
      </right>
      <top style="medium">
        <color theme="0" tint="-0.1498764000366222"/>
      </top>
      <bottom style="medium">
        <color theme="0" tint="-0.149876400036622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1498764000366222"/>
      </left>
      <right style="medium">
        <color theme="0" tint="-0.1498764000366222"/>
      </right>
      <top style="medium">
        <color theme="0" tint="-0.1498764000366222"/>
      </top>
      <bottom style="medium">
        <color theme="0" tint="-0.1498764000366222"/>
      </bottom>
      <diagonal/>
    </border>
    <border>
      <left style="medium">
        <color theme="0" tint="-0.1498764000366222"/>
      </left>
      <right style="medium">
        <color theme="0" tint="-0.1498764000366222"/>
      </right>
      <top style="medium">
        <color theme="0" tint="-0.1498764000366222"/>
      </top>
      <bottom style="medium">
        <color theme="0" tint="-0.1498764000366222"/>
      </bottom>
      <diagonal/>
    </border>
    <border>
      <left style="thin">
        <color theme="3" tint="0.39991454817346722"/>
      </left>
      <right style="thin">
        <color theme="3" tint="0.39991454817346722"/>
      </right>
      <top style="thin">
        <color theme="3" tint="0.39991454817346722"/>
      </top>
      <bottom style="thin">
        <color theme="3" tint="0.399914548173467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8">
    <xf numFmtId="0" fontId="0" fillId="0" borderId="0"/>
    <xf numFmtId="0" fontId="10" fillId="8" borderId="0"/>
    <xf numFmtId="0" fontId="24" fillId="0" borderId="0"/>
    <xf numFmtId="0" fontId="13" fillId="0" borderId="0"/>
    <xf numFmtId="0" fontId="24" fillId="0" borderId="0"/>
    <xf numFmtId="164" fontId="24" fillId="0" borderId="0"/>
    <xf numFmtId="9" fontId="24" fillId="0" borderId="0"/>
    <xf numFmtId="0" fontId="24" fillId="0" borderId="0"/>
    <xf numFmtId="164" fontId="24" fillId="0" borderId="0"/>
    <xf numFmtId="9" fontId="24" fillId="0" borderId="0"/>
    <xf numFmtId="0" fontId="24" fillId="0" borderId="0"/>
    <xf numFmtId="0" fontId="24" fillId="0" borderId="0"/>
    <xf numFmtId="0" fontId="13" fillId="0" borderId="0"/>
    <xf numFmtId="164" fontId="24" fillId="0" borderId="0"/>
    <xf numFmtId="9" fontId="24" fillId="0" borderId="0"/>
    <xf numFmtId="164" fontId="24" fillId="0" borderId="0"/>
    <xf numFmtId="9" fontId="24" fillId="0" borderId="0"/>
    <xf numFmtId="0" fontId="14" fillId="0" borderId="0"/>
  </cellStyleXfs>
  <cellXfs count="202">
    <xf numFmtId="0" fontId="0" fillId="0" borderId="0" xfId="0"/>
    <xf numFmtId="0" fontId="2" fillId="0" borderId="0" xfId="0" applyFont="1"/>
    <xf numFmtId="0" fontId="3" fillId="0" borderId="0" xfId="0" applyFont="1"/>
    <xf numFmtId="0" fontId="3" fillId="3" borderId="0" xfId="0" applyFont="1" applyFill="1"/>
    <xf numFmtId="0" fontId="3" fillId="0" borderId="1" xfId="0" applyFont="1" applyBorder="1"/>
    <xf numFmtId="0" fontId="0" fillId="5" borderId="9" xfId="0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3" fillId="0" borderId="12" xfId="0" applyFont="1" applyBorder="1"/>
    <xf numFmtId="0" fontId="7" fillId="0" borderId="0" xfId="0" applyFont="1"/>
    <xf numFmtId="0" fontId="4" fillId="4" borderId="12" xfId="0" applyFont="1" applyFill="1" applyBorder="1" applyAlignment="1">
      <alignment horizontal="center" vertical="center"/>
    </xf>
    <xf numFmtId="0" fontId="5" fillId="0" borderId="0" xfId="0" applyFont="1" applyAlignment="1">
      <alignment wrapText="1"/>
    </xf>
    <xf numFmtId="0" fontId="5" fillId="0" borderId="12" xfId="0" applyFont="1" applyBorder="1" applyAlignment="1">
      <alignment wrapText="1"/>
    </xf>
    <xf numFmtId="0" fontId="0" fillId="5" borderId="5" xfId="0" applyFill="1" applyBorder="1" applyAlignment="1">
      <alignment horizontal="center"/>
    </xf>
    <xf numFmtId="0" fontId="4" fillId="4" borderId="15" xfId="0" applyFont="1" applyFill="1" applyBorder="1" applyAlignment="1" applyProtection="1">
      <alignment horizontal="center"/>
      <protection locked="0"/>
    </xf>
    <xf numFmtId="0" fontId="11" fillId="0" borderId="0" xfId="0" applyFont="1"/>
    <xf numFmtId="0" fontId="12" fillId="10" borderId="18" xfId="0" applyFont="1" applyFill="1" applyBorder="1" applyAlignment="1">
      <alignment horizontal="center"/>
    </xf>
    <xf numFmtId="0" fontId="12" fillId="11" borderId="18" xfId="0" applyFont="1" applyFill="1" applyBorder="1" applyAlignment="1">
      <alignment horizontal="center"/>
    </xf>
    <xf numFmtId="0" fontId="12" fillId="10" borderId="19" xfId="0" applyFont="1" applyFill="1" applyBorder="1" applyAlignment="1">
      <alignment horizontal="center"/>
    </xf>
    <xf numFmtId="0" fontId="12" fillId="10" borderId="18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3" xfId="0" applyBorder="1" applyAlignment="1">
      <alignment vertical="center"/>
    </xf>
    <xf numFmtId="0" fontId="4" fillId="4" borderId="15" xfId="0" applyFont="1" applyFill="1" applyBorder="1" applyAlignment="1">
      <alignment horizontal="center"/>
    </xf>
    <xf numFmtId="0" fontId="4" fillId="4" borderId="15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3" xfId="0" applyBorder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0" fontId="4" fillId="12" borderId="21" xfId="0" applyFont="1" applyFill="1" applyBorder="1" applyAlignment="1">
      <alignment horizontal="center" vertical="center"/>
    </xf>
    <xf numFmtId="0" fontId="0" fillId="0" borderId="13" xfId="0" applyBorder="1" applyAlignment="1">
      <alignment vertical="center" wrapText="1"/>
    </xf>
    <xf numFmtId="0" fontId="0" fillId="0" borderId="13" xfId="0" applyBorder="1" applyAlignment="1">
      <alignment horizontal="center" vertical="center" wrapText="1"/>
    </xf>
    <xf numFmtId="0" fontId="4" fillId="4" borderId="22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4" fillId="7" borderId="15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6" borderId="15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/>
    </xf>
    <xf numFmtId="0" fontId="4" fillId="12" borderId="15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0" fontId="15" fillId="0" borderId="13" xfId="0" applyFont="1" applyBorder="1" applyAlignment="1">
      <alignment vertical="center" wrapText="1"/>
    </xf>
    <xf numFmtId="0" fontId="16" fillId="7" borderId="13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16" borderId="13" xfId="0" applyFill="1" applyBorder="1" applyAlignment="1">
      <alignment vertical="center"/>
    </xf>
    <xf numFmtId="0" fontId="0" fillId="15" borderId="13" xfId="0" applyFill="1" applyBorder="1" applyAlignment="1">
      <alignment vertical="center" wrapText="1"/>
    </xf>
    <xf numFmtId="0" fontId="4" fillId="7" borderId="22" xfId="0" applyFont="1" applyFill="1" applyBorder="1" applyAlignment="1">
      <alignment horizontal="center" vertical="center" wrapText="1"/>
    </xf>
    <xf numFmtId="0" fontId="0" fillId="13" borderId="13" xfId="0" applyFill="1" applyBorder="1" applyAlignment="1">
      <alignment horizontal="center" vertical="center"/>
    </xf>
    <xf numFmtId="0" fontId="1" fillId="7" borderId="0" xfId="0" applyFont="1" applyFill="1"/>
    <xf numFmtId="0" fontId="20" fillId="7" borderId="0" xfId="0" applyFont="1" applyFill="1"/>
    <xf numFmtId="0" fontId="19" fillId="18" borderId="0" xfId="0" applyFont="1" applyFill="1"/>
    <xf numFmtId="0" fontId="20" fillId="18" borderId="0" xfId="0" applyFont="1" applyFill="1"/>
    <xf numFmtId="0" fontId="19" fillId="12" borderId="0" xfId="0" applyFont="1" applyFill="1"/>
    <xf numFmtId="0" fontId="20" fillId="12" borderId="0" xfId="0" applyFont="1" applyFill="1"/>
    <xf numFmtId="0" fontId="0" fillId="19" borderId="0" xfId="0" applyFill="1"/>
    <xf numFmtId="0" fontId="18" fillId="19" borderId="0" xfId="0" applyFont="1" applyFill="1"/>
    <xf numFmtId="0" fontId="0" fillId="20" borderId="0" xfId="0" applyFill="1"/>
    <xf numFmtId="0" fontId="3" fillId="20" borderId="0" xfId="0" applyFont="1" applyFill="1"/>
    <xf numFmtId="0" fontId="0" fillId="15" borderId="13" xfId="0" applyFill="1" applyBorder="1" applyAlignment="1">
      <alignment horizontal="left" vertical="center" wrapText="1"/>
    </xf>
    <xf numFmtId="0" fontId="4" fillId="5" borderId="4" xfId="0" applyFont="1" applyFill="1" applyBorder="1" applyAlignment="1">
      <alignment horizontal="center"/>
    </xf>
    <xf numFmtId="0" fontId="23" fillId="15" borderId="15" xfId="0" applyFont="1" applyFill="1" applyBorder="1" applyAlignment="1" applyProtection="1">
      <alignment horizontal="center" vertical="center"/>
      <protection locked="0"/>
    </xf>
    <xf numFmtId="0" fontId="4" fillId="4" borderId="15" xfId="0" applyFont="1" applyFill="1" applyBorder="1" applyAlignment="1" applyProtection="1">
      <alignment horizontal="center" vertical="center"/>
      <protection locked="0"/>
    </xf>
    <xf numFmtId="0" fontId="4" fillId="6" borderId="15" xfId="0" applyFont="1" applyFill="1" applyBorder="1" applyAlignment="1" applyProtection="1">
      <alignment horizontal="center" vertical="center"/>
      <protection locked="0"/>
    </xf>
    <xf numFmtId="0" fontId="4" fillId="4" borderId="15" xfId="0" applyFont="1" applyFill="1" applyBorder="1" applyAlignment="1">
      <alignment horizontal="center" vertical="center" wrapText="1"/>
    </xf>
    <xf numFmtId="0" fontId="4" fillId="4" borderId="25" xfId="0" applyFont="1" applyFill="1" applyBorder="1" applyAlignment="1">
      <alignment horizontal="center"/>
    </xf>
    <xf numFmtId="0" fontId="2" fillId="0" borderId="13" xfId="0" applyFont="1" applyBorder="1" applyAlignment="1">
      <alignment wrapText="1"/>
    </xf>
    <xf numFmtId="49" fontId="0" fillId="0" borderId="0" xfId="0" applyNumberFormat="1"/>
    <xf numFmtId="0" fontId="4" fillId="4" borderId="12" xfId="0" applyFont="1" applyFill="1" applyBorder="1" applyAlignment="1" applyProtection="1">
      <alignment horizontal="center" vertical="center"/>
      <protection locked="0"/>
    </xf>
    <xf numFmtId="49" fontId="4" fillId="4" borderId="12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3" fillId="15" borderId="15" xfId="0" applyFont="1" applyFill="1" applyBorder="1" applyAlignment="1">
      <alignment horizontal="center" vertical="center"/>
    </xf>
    <xf numFmtId="0" fontId="23" fillId="15" borderId="15" xfId="0" applyFont="1" applyFill="1" applyBorder="1" applyAlignment="1">
      <alignment horizontal="center"/>
    </xf>
    <xf numFmtId="0" fontId="0" fillId="23" borderId="13" xfId="0" applyFill="1" applyBorder="1" applyAlignment="1">
      <alignment horizontal="center" vertical="center"/>
    </xf>
    <xf numFmtId="0" fontId="5" fillId="0" borderId="23" xfId="0" applyFont="1" applyBorder="1" applyAlignment="1">
      <alignment wrapText="1"/>
    </xf>
    <xf numFmtId="0" fontId="4" fillId="4" borderId="15" xfId="0" applyFont="1" applyFill="1" applyBorder="1" applyAlignment="1" applyProtection="1">
      <alignment horizontal="center" vertical="center" wrapText="1"/>
      <protection locked="0"/>
    </xf>
    <xf numFmtId="0" fontId="6" fillId="4" borderId="15" xfId="0" applyFont="1" applyFill="1" applyBorder="1" applyAlignment="1">
      <alignment horizontal="center" wrapText="1"/>
    </xf>
    <xf numFmtId="0" fontId="4" fillId="6" borderId="15" xfId="0" applyFont="1" applyFill="1" applyBorder="1" applyAlignment="1">
      <alignment horizontal="center" vertical="center" wrapText="1"/>
    </xf>
    <xf numFmtId="0" fontId="4" fillId="4" borderId="12" xfId="0" applyFont="1" applyFill="1" applyBorder="1" applyAlignment="1">
      <alignment horizontal="center" vertical="center" wrapText="1"/>
    </xf>
    <xf numFmtId="49" fontId="4" fillId="4" borderId="15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4" fillId="14" borderId="15" xfId="0" applyFont="1" applyFill="1" applyBorder="1" applyAlignment="1">
      <alignment horizontal="center" vertical="center" wrapText="1"/>
    </xf>
    <xf numFmtId="0" fontId="4" fillId="2" borderId="23" xfId="0" applyFont="1" applyFill="1" applyBorder="1" applyAlignment="1">
      <alignment horizontal="center" vertical="center" wrapText="1"/>
    </xf>
    <xf numFmtId="0" fontId="4" fillId="2" borderId="23" xfId="0" applyFont="1" applyFill="1" applyBorder="1" applyAlignment="1">
      <alignment horizontal="center"/>
    </xf>
    <xf numFmtId="0" fontId="4" fillId="4" borderId="23" xfId="0" applyFont="1" applyFill="1" applyBorder="1" applyAlignment="1">
      <alignment horizontal="center"/>
    </xf>
    <xf numFmtId="0" fontId="3" fillId="0" borderId="23" xfId="0" applyFont="1" applyBorder="1"/>
    <xf numFmtId="0" fontId="2" fillId="0" borderId="23" xfId="0" applyFont="1" applyBorder="1"/>
    <xf numFmtId="0" fontId="4" fillId="4" borderId="23" xfId="0" applyFont="1" applyFill="1" applyBorder="1" applyAlignment="1">
      <alignment horizontal="center" vertical="center"/>
    </xf>
    <xf numFmtId="0" fontId="8" fillId="0" borderId="23" xfId="0" applyFont="1" applyBorder="1" applyAlignment="1">
      <alignment wrapText="1"/>
    </xf>
    <xf numFmtId="0" fontId="18" fillId="0" borderId="0" xfId="0" applyFont="1"/>
    <xf numFmtId="3" fontId="0" fillId="0" borderId="0" xfId="0" applyNumberFormat="1"/>
    <xf numFmtId="0" fontId="22" fillId="6" borderId="13" xfId="0" applyFont="1" applyFill="1" applyBorder="1" applyAlignment="1">
      <alignment horizontal="center" vertical="center" wrapText="1"/>
    </xf>
    <xf numFmtId="0" fontId="21" fillId="22" borderId="13" xfId="0" applyFont="1" applyFill="1" applyBorder="1" applyAlignment="1">
      <alignment vertical="center" wrapText="1"/>
    </xf>
    <xf numFmtId="0" fontId="21" fillId="14" borderId="13" xfId="0" applyFont="1" applyFill="1" applyBorder="1" applyAlignment="1">
      <alignment horizontal="center" vertical="center" wrapText="1"/>
    </xf>
    <xf numFmtId="0" fontId="21" fillId="14" borderId="0" xfId="0" applyFont="1" applyFill="1" applyAlignment="1">
      <alignment horizontal="center" vertical="center" wrapText="1"/>
    </xf>
    <xf numFmtId="0" fontId="0" fillId="21" borderId="13" xfId="0" applyFill="1" applyBorder="1" applyAlignment="1">
      <alignment horizontal="center" vertical="center" wrapText="1"/>
    </xf>
    <xf numFmtId="0" fontId="0" fillId="15" borderId="13" xfId="0" applyFill="1" applyBorder="1" applyAlignment="1">
      <alignment horizontal="center" vertical="center" wrapText="1"/>
    </xf>
    <xf numFmtId="0" fontId="0" fillId="21" borderId="26" xfId="0" applyFill="1" applyBorder="1" applyAlignment="1">
      <alignment horizontal="center" vertical="center" wrapText="1"/>
    </xf>
    <xf numFmtId="0" fontId="0" fillId="21" borderId="28" xfId="0" applyFill="1" applyBorder="1" applyAlignment="1">
      <alignment horizontal="center" vertical="center" wrapText="1"/>
    </xf>
    <xf numFmtId="0" fontId="0" fillId="21" borderId="0" xfId="0" applyFill="1" applyAlignment="1">
      <alignment horizontal="center" vertical="center" wrapText="1"/>
    </xf>
    <xf numFmtId="0" fontId="0" fillId="21" borderId="27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wrapText="1"/>
    </xf>
    <xf numFmtId="0" fontId="9" fillId="13" borderId="0" xfId="0" applyFont="1" applyFill="1" applyAlignment="1">
      <alignment horizontal="center" vertical="center"/>
    </xf>
    <xf numFmtId="0" fontId="4" fillId="12" borderId="21" xfId="0" applyFont="1" applyFill="1" applyBorder="1" applyAlignment="1">
      <alignment horizontal="center" vertical="center" wrapText="1"/>
    </xf>
    <xf numFmtId="0" fontId="4" fillId="4" borderId="24" xfId="0" applyFont="1" applyFill="1" applyBorder="1" applyAlignment="1">
      <alignment horizontal="center" vertical="center"/>
    </xf>
    <xf numFmtId="0" fontId="4" fillId="4" borderId="25" xfId="0" applyFont="1" applyFill="1" applyBorder="1" applyAlignment="1">
      <alignment horizontal="center" vertical="center"/>
    </xf>
    <xf numFmtId="0" fontId="2" fillId="0" borderId="13" xfId="0" applyFont="1" applyBorder="1"/>
    <xf numFmtId="0" fontId="10" fillId="8" borderId="13" xfId="1" applyBorder="1" applyAlignment="1">
      <alignment horizontal="center" vertical="center"/>
    </xf>
    <xf numFmtId="0" fontId="10" fillId="8" borderId="13" xfId="1" applyBorder="1" applyAlignment="1">
      <alignment horizontal="left" vertical="center"/>
    </xf>
    <xf numFmtId="0" fontId="4" fillId="12" borderId="15" xfId="0" applyFont="1" applyFill="1" applyBorder="1" applyAlignment="1">
      <alignment vertical="center"/>
    </xf>
    <xf numFmtId="0" fontId="0" fillId="0" borderId="13" xfId="0" applyBorder="1"/>
    <xf numFmtId="0" fontId="0" fillId="0" borderId="13" xfId="0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0" fillId="8" borderId="13" xfId="1" applyBorder="1" applyAlignment="1">
      <alignment horizontal="center" vertical="center" wrapText="1"/>
    </xf>
    <xf numFmtId="0" fontId="10" fillId="8" borderId="13" xfId="1" quotePrefix="1" applyBorder="1" applyAlignment="1">
      <alignment horizontal="center" vertical="center"/>
    </xf>
    <xf numFmtId="0" fontId="10" fillId="25" borderId="13" xfId="0" applyFont="1" applyFill="1" applyBorder="1" applyAlignment="1">
      <alignment wrapText="1"/>
    </xf>
    <xf numFmtId="0" fontId="10" fillId="25" borderId="13" xfId="0" applyFont="1" applyFill="1" applyBorder="1"/>
    <xf numFmtId="0" fontId="10" fillId="25" borderId="13" xfId="0" quotePrefix="1" applyFont="1" applyFill="1" applyBorder="1" applyAlignment="1">
      <alignment wrapText="1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/>
    </xf>
    <xf numFmtId="0" fontId="4" fillId="14" borderId="21" xfId="0" applyFont="1" applyFill="1" applyBorder="1" applyAlignment="1">
      <alignment horizontal="center" vertical="center" wrapText="1"/>
    </xf>
    <xf numFmtId="0" fontId="4" fillId="14" borderId="24" xfId="0" applyFont="1" applyFill="1" applyBorder="1" applyAlignment="1">
      <alignment horizontal="center" vertical="center" wrapText="1"/>
    </xf>
    <xf numFmtId="0" fontId="4" fillId="12" borderId="24" xfId="0" applyFont="1" applyFill="1" applyBorder="1" applyAlignment="1">
      <alignment horizontal="center" vertical="center"/>
    </xf>
    <xf numFmtId="49" fontId="0" fillId="0" borderId="13" xfId="0" applyNumberFormat="1" applyBorder="1" applyAlignment="1">
      <alignment horizontal="center"/>
    </xf>
    <xf numFmtId="0" fontId="12" fillId="17" borderId="13" xfId="0" applyFont="1" applyFill="1" applyBorder="1" applyAlignment="1">
      <alignment horizontal="center" vertical="center" wrapText="1"/>
    </xf>
    <xf numFmtId="0" fontId="4" fillId="4" borderId="13" xfId="0" applyFont="1" applyFill="1" applyBorder="1" applyAlignment="1">
      <alignment horizontal="center" vertical="center" wrapText="1"/>
    </xf>
    <xf numFmtId="0" fontId="0" fillId="0" borderId="28" xfId="0" applyBorder="1" applyAlignment="1">
      <alignment horizontal="center" vertical="center"/>
    </xf>
    <xf numFmtId="0" fontId="25" fillId="26" borderId="13" xfId="0" applyFont="1" applyFill="1" applyBorder="1"/>
    <xf numFmtId="0" fontId="0" fillId="15" borderId="0" xfId="0" applyFill="1"/>
    <xf numFmtId="0" fontId="10" fillId="25" borderId="13" xfId="0" applyFont="1" applyFill="1" applyBorder="1" applyAlignment="1">
      <alignment horizontal="center" vertical="center" wrapText="1"/>
    </xf>
    <xf numFmtId="3" fontId="0" fillId="0" borderId="0" xfId="0" applyNumberFormat="1" applyAlignment="1">
      <alignment horizontal="center"/>
    </xf>
    <xf numFmtId="0" fontId="25" fillId="26" borderId="0" xfId="0" applyFont="1" applyFill="1"/>
    <xf numFmtId="0" fontId="25" fillId="27" borderId="13" xfId="0" applyFont="1" applyFill="1" applyBorder="1" applyAlignment="1">
      <alignment wrapText="1"/>
    </xf>
    <xf numFmtId="0" fontId="25" fillId="26" borderId="0" xfId="0" applyFont="1" applyFill="1" applyAlignment="1">
      <alignment horizontal="center"/>
    </xf>
    <xf numFmtId="0" fontId="25" fillId="26" borderId="0" xfId="0" applyFont="1" applyFill="1" applyAlignment="1">
      <alignment horizontal="right"/>
    </xf>
    <xf numFmtId="0" fontId="0" fillId="26" borderId="0" xfId="0" applyFill="1"/>
    <xf numFmtId="0" fontId="10" fillId="24" borderId="13" xfId="1" applyFill="1" applyBorder="1" applyAlignment="1">
      <alignment horizontal="center" vertical="center"/>
    </xf>
    <xf numFmtId="17" fontId="26" fillId="0" borderId="31" xfId="0" applyNumberFormat="1" applyFont="1" applyBorder="1" applyAlignment="1">
      <alignment horizontal="center" vertical="center" wrapText="1"/>
    </xf>
    <xf numFmtId="0" fontId="0" fillId="15" borderId="0" xfId="0" applyFill="1" applyAlignment="1">
      <alignment horizontal="center"/>
    </xf>
    <xf numFmtId="0" fontId="26" fillId="0" borderId="31" xfId="0" applyFont="1" applyBorder="1" applyAlignment="1">
      <alignment horizontal="center" vertical="center" wrapText="1"/>
    </xf>
    <xf numFmtId="0" fontId="0" fillId="0" borderId="32" xfId="0" applyBorder="1" applyAlignment="1">
      <alignment vertical="center" wrapText="1"/>
    </xf>
    <xf numFmtId="0" fontId="0" fillId="28" borderId="0" xfId="0" applyFill="1"/>
    <xf numFmtId="0" fontId="10" fillId="25" borderId="13" xfId="0" applyFont="1" applyFill="1" applyBorder="1" applyAlignment="1">
      <alignment horizontal="center" vertical="center"/>
    </xf>
    <xf numFmtId="0" fontId="0" fillId="22" borderId="0" xfId="0" applyFill="1"/>
    <xf numFmtId="0" fontId="0" fillId="22" borderId="0" xfId="0" applyFill="1" applyAlignment="1">
      <alignment horizontal="center"/>
    </xf>
    <xf numFmtId="0" fontId="0" fillId="3" borderId="0" xfId="0" applyFill="1"/>
    <xf numFmtId="49" fontId="0" fillId="0" borderId="0" xfId="0" applyNumberFormat="1" applyAlignment="1">
      <alignment horizontal="center"/>
    </xf>
    <xf numFmtId="49" fontId="0" fillId="15" borderId="0" xfId="0" applyNumberFormat="1" applyFill="1" applyAlignment="1">
      <alignment horizontal="center"/>
    </xf>
    <xf numFmtId="0" fontId="10" fillId="8" borderId="0" xfId="1" applyAlignment="1">
      <alignment horizontal="center" vertical="center"/>
    </xf>
    <xf numFmtId="0" fontId="10" fillId="8" borderId="0" xfId="1" applyAlignment="1">
      <alignment horizontal="center" vertical="center" wrapText="1"/>
    </xf>
    <xf numFmtId="0" fontId="10" fillId="8" borderId="0" xfId="1" quotePrefix="1" applyAlignment="1">
      <alignment horizontal="center" vertical="center"/>
    </xf>
    <xf numFmtId="0" fontId="0" fillId="0" borderId="22" xfId="0" applyBorder="1" applyAlignment="1">
      <alignment vertical="center" wrapText="1"/>
    </xf>
    <xf numFmtId="0" fontId="10" fillId="25" borderId="13" xfId="0" applyFont="1" applyFill="1" applyBorder="1" applyAlignment="1">
      <alignment horizontal="center" wrapText="1"/>
    </xf>
    <xf numFmtId="0" fontId="10" fillId="15" borderId="13" xfId="1" applyFill="1" applyBorder="1" applyAlignment="1">
      <alignment horizontal="center" vertical="center"/>
    </xf>
    <xf numFmtId="0" fontId="10" fillId="15" borderId="13" xfId="1" applyFill="1" applyBorder="1" applyAlignment="1">
      <alignment horizontal="center" vertical="center" wrapText="1"/>
    </xf>
    <xf numFmtId="0" fontId="10" fillId="15" borderId="13" xfId="1" quotePrefix="1" applyFill="1" applyBorder="1" applyAlignment="1">
      <alignment horizontal="center" vertical="center"/>
    </xf>
    <xf numFmtId="0" fontId="0" fillId="29" borderId="0" xfId="0" applyFill="1"/>
    <xf numFmtId="0" fontId="10" fillId="30" borderId="13" xfId="1" applyFill="1" applyBorder="1" applyAlignment="1">
      <alignment horizontal="center" vertical="center"/>
    </xf>
    <xf numFmtId="0" fontId="10" fillId="31" borderId="13" xfId="0" applyFont="1" applyFill="1" applyBorder="1" applyAlignment="1">
      <alignment wrapText="1"/>
    </xf>
    <xf numFmtId="0" fontId="10" fillId="30" borderId="13" xfId="1" applyFill="1" applyBorder="1" applyAlignment="1">
      <alignment horizontal="left" vertical="center"/>
    </xf>
    <xf numFmtId="0" fontId="10" fillId="31" borderId="13" xfId="0" applyFont="1" applyFill="1" applyBorder="1"/>
    <xf numFmtId="0" fontId="10" fillId="31" borderId="13" xfId="0" quotePrefix="1" applyFont="1" applyFill="1" applyBorder="1" applyAlignment="1">
      <alignment wrapText="1"/>
    </xf>
    <xf numFmtId="0" fontId="0" fillId="29" borderId="0" xfId="0" applyFill="1" applyAlignment="1">
      <alignment vertical="center" wrapText="1"/>
    </xf>
    <xf numFmtId="0" fontId="10" fillId="22" borderId="13" xfId="1" applyFill="1" applyBorder="1" applyAlignment="1">
      <alignment horizontal="center" vertical="center"/>
    </xf>
    <xf numFmtId="0" fontId="27" fillId="8" borderId="33" xfId="1" applyFont="1" applyBorder="1" applyAlignment="1">
      <alignment horizontal="center" vertical="center"/>
    </xf>
    <xf numFmtId="0" fontId="0" fillId="32" borderId="0" xfId="0" applyFill="1"/>
    <xf numFmtId="49" fontId="0" fillId="0" borderId="0" xfId="0" quotePrefix="1" applyNumberFormat="1" applyAlignment="1">
      <alignment horizontal="center"/>
    </xf>
    <xf numFmtId="0" fontId="0" fillId="0" borderId="0" xfId="0" quotePrefix="1" applyAlignment="1">
      <alignment horizontal="center"/>
    </xf>
    <xf numFmtId="0" fontId="10" fillId="29" borderId="13" xfId="1" applyFill="1" applyBorder="1" applyAlignment="1">
      <alignment horizontal="center" vertical="center"/>
    </xf>
    <xf numFmtId="0" fontId="10" fillId="29" borderId="13" xfId="1" applyFill="1" applyBorder="1" applyAlignment="1">
      <alignment horizontal="center" vertical="center" wrapText="1"/>
    </xf>
    <xf numFmtId="0" fontId="10" fillId="29" borderId="13" xfId="1" quotePrefix="1" applyFill="1" applyBorder="1" applyAlignment="1">
      <alignment horizontal="center" vertical="center"/>
    </xf>
    <xf numFmtId="0" fontId="10" fillId="33" borderId="13" xfId="1" applyFill="1" applyBorder="1" applyAlignment="1">
      <alignment horizontal="center" vertical="center"/>
    </xf>
    <xf numFmtId="0" fontId="10" fillId="33" borderId="13" xfId="1" applyFill="1" applyBorder="1" applyAlignment="1">
      <alignment horizontal="center" vertical="center" wrapText="1"/>
    </xf>
    <xf numFmtId="0" fontId="10" fillId="33" borderId="13" xfId="1" quotePrefix="1" applyFill="1" applyBorder="1" applyAlignment="1">
      <alignment horizontal="center" vertical="center"/>
    </xf>
    <xf numFmtId="0" fontId="10" fillId="0" borderId="13" xfId="1" applyFill="1" applyBorder="1" applyAlignment="1">
      <alignment horizontal="center" vertical="center"/>
    </xf>
    <xf numFmtId="0" fontId="10" fillId="0" borderId="13" xfId="0" applyFont="1" applyBorder="1" applyAlignment="1">
      <alignment wrapText="1"/>
    </xf>
    <xf numFmtId="0" fontId="10" fillId="0" borderId="13" xfId="1" applyFill="1" applyBorder="1" applyAlignment="1">
      <alignment horizontal="left" vertical="center"/>
    </xf>
    <xf numFmtId="0" fontId="10" fillId="0" borderId="13" xfId="0" applyFont="1" applyBorder="1"/>
    <xf numFmtId="0" fontId="10" fillId="0" borderId="13" xfId="0" quotePrefix="1" applyFont="1" applyBorder="1" applyAlignment="1">
      <alignment wrapText="1"/>
    </xf>
    <xf numFmtId="0" fontId="10" fillId="8" borderId="32" xfId="1" applyBorder="1" applyAlignment="1">
      <alignment horizontal="center" vertical="center"/>
    </xf>
    <xf numFmtId="0" fontId="17" fillId="14" borderId="13" xfId="0" applyFont="1" applyFill="1" applyBorder="1" applyAlignment="1">
      <alignment horizontal="center" vertical="center" wrapText="1"/>
    </xf>
    <xf numFmtId="0" fontId="0" fillId="0" borderId="27" xfId="0" applyBorder="1"/>
    <xf numFmtId="0" fontId="4" fillId="5" borderId="14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4" fillId="5" borderId="7" xfId="0" applyFont="1" applyFill="1" applyBorder="1" applyAlignment="1">
      <alignment horizontal="center"/>
    </xf>
    <xf numFmtId="0" fontId="0" fillId="0" borderId="8" xfId="0" applyBorder="1"/>
    <xf numFmtId="0" fontId="4" fillId="5" borderId="4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center"/>
    </xf>
    <xf numFmtId="0" fontId="0" fillId="0" borderId="11" xfId="0" applyBorder="1"/>
    <xf numFmtId="0" fontId="12" fillId="9" borderId="20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4" fillId="2" borderId="30" xfId="0" applyFont="1" applyFill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4" fillId="2" borderId="1" xfId="0" applyFont="1" applyFill="1" applyBorder="1" applyAlignment="1">
      <alignment horizontal="center"/>
    </xf>
    <xf numFmtId="0" fontId="0" fillId="0" borderId="0" xfId="0"/>
    <xf numFmtId="0" fontId="9" fillId="3" borderId="30" xfId="0" applyFont="1" applyFill="1" applyBorder="1" applyAlignment="1">
      <alignment horizontal="center" wrapText="1"/>
    </xf>
    <xf numFmtId="0" fontId="5" fillId="0" borderId="30" xfId="0" applyFont="1" applyBorder="1" applyAlignment="1">
      <alignment wrapText="1"/>
    </xf>
    <xf numFmtId="0" fontId="5" fillId="0" borderId="11" xfId="0" applyFont="1" applyBorder="1" applyAlignment="1">
      <alignment wrapText="1"/>
    </xf>
  </cellXfs>
  <cellStyles count="18">
    <cellStyle name="Comma 2" xfId="5" xr:uid="{00000000-0005-0000-0000-000005000000}"/>
    <cellStyle name="Comma 2 2" xfId="8" xr:uid="{00000000-0005-0000-0000-000008000000}"/>
    <cellStyle name="Comma 2 2 2" xfId="15" xr:uid="{00000000-0005-0000-0000-00000F000000}"/>
    <cellStyle name="Comma 2 3" xfId="13" xr:uid="{00000000-0005-0000-0000-00000D000000}"/>
    <cellStyle name="Good 2" xfId="1" xr:uid="{00000000-0005-0000-0000-000001000000}"/>
    <cellStyle name="Hyperlink 2" xfId="3" xr:uid="{00000000-0005-0000-0000-000003000000}"/>
    <cellStyle name="Hyperlink 2 2" xfId="12" xr:uid="{00000000-0005-0000-0000-00000C000000}"/>
    <cellStyle name="Hyperlink 3" xfId="17" xr:uid="{00000000-0005-0000-0000-000011000000}"/>
    <cellStyle name="Normal" xfId="0" builtinId="0"/>
    <cellStyle name="Normal 2" xfId="2" xr:uid="{00000000-0005-0000-0000-000002000000}"/>
    <cellStyle name="Normal 2 2" xfId="4" xr:uid="{00000000-0005-0000-0000-000004000000}"/>
    <cellStyle name="Normal 2 2 2" xfId="7" xr:uid="{00000000-0005-0000-0000-000007000000}"/>
    <cellStyle name="Normal 2 3" xfId="10" xr:uid="{00000000-0005-0000-0000-00000A000000}"/>
    <cellStyle name="Normal 2 3 2" xfId="11" xr:uid="{00000000-0005-0000-0000-00000B000000}"/>
    <cellStyle name="Percent 2" xfId="6" xr:uid="{00000000-0005-0000-0000-000006000000}"/>
    <cellStyle name="Percent 2 2" xfId="9" xr:uid="{00000000-0005-0000-0000-000009000000}"/>
    <cellStyle name="Percent 2 2 2" xfId="16" xr:uid="{00000000-0005-0000-0000-000010000000}"/>
    <cellStyle name="Percent 2 3" xfId="14" xr:uid="{00000000-0005-0000-0000-00000E000000}"/>
  </cellStyles>
  <dxfs count="63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strike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20267</xdr:colOff>
      <xdr:row>25</xdr:row>
      <xdr:rowOff>37356</xdr:rowOff>
    </xdr:from>
    <xdr:to>
      <xdr:col>1</xdr:col>
      <xdr:colOff>610614</xdr:colOff>
      <xdr:row>26</xdr:row>
      <xdr:rowOff>149651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68522" y="3701441"/>
          <a:ext cx="590347" cy="959412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3701443</xdr:colOff>
      <xdr:row>24</xdr:row>
      <xdr:rowOff>143617</xdr:rowOff>
    </xdr:from>
    <xdr:to>
      <xdr:col>2</xdr:col>
      <xdr:colOff>4505392</xdr:colOff>
      <xdr:row>25</xdr:row>
      <xdr:rowOff>779624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17081" y="3617202"/>
          <a:ext cx="800774" cy="826507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5583001</xdr:colOff>
      <xdr:row>13</xdr:row>
      <xdr:rowOff>189234</xdr:rowOff>
    </xdr:from>
    <xdr:to>
      <xdr:col>4</xdr:col>
      <xdr:colOff>69679</xdr:colOff>
      <xdr:row>16</xdr:row>
      <xdr:rowOff>374500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298639" y="570234"/>
          <a:ext cx="3385190" cy="1013874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2373386</xdr:colOff>
      <xdr:row>5</xdr:row>
      <xdr:rowOff>14838</xdr:rowOff>
    </xdr:from>
    <xdr:to>
      <xdr:col>2</xdr:col>
      <xdr:colOff>3561029</xdr:colOff>
      <xdr:row>9</xdr:row>
      <xdr:rowOff>128423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20130" y="978414"/>
          <a:ext cx="1187643" cy="866724"/>
        </a:xfrm>
        <a:prstGeom prst="rect">
          <a:avLst/>
        </a:prstGeom>
        <a:ln>
          <a:prstDash val="solid"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ulus-my.sharepoint.com/Users/kumar/Downloads/Configuration%20file%20-%20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ck_lvl_db"/>
      <sheetName val="Category_lvl_db"/>
      <sheetName val="Slide_clone_config"/>
      <sheetName val="Variables"/>
      <sheetName val="Sorting &amp; Colouring"/>
      <sheetName val="Report_Generator"/>
      <sheetName val="Data &amp; Workbook_List"/>
      <sheetName val="Chart_config"/>
      <sheetName val="Table_config"/>
      <sheetName val="Text_shape_config"/>
      <sheetName val="Sig_test_config"/>
      <sheetName val="Data_consol_config"/>
      <sheetName val="Sig_test_char_picker"/>
      <sheetName val="Data_consol_Replace_Mapping"/>
      <sheetName val="Control Sheet"/>
      <sheetName val="Features &amp; Bugs"/>
      <sheetName val="Configuration_guide"/>
      <sheetName val="Config_file_creator"/>
      <sheetName val="Control Sheet_Custo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AEAE9F"/>
  </sheetPr>
  <dimension ref="A1:K7"/>
  <sheetViews>
    <sheetView showGridLines="0" zoomScale="90" zoomScaleNormal="70" workbookViewId="0">
      <selection activeCell="C11" sqref="C11"/>
    </sheetView>
  </sheetViews>
  <sheetFormatPr defaultColWidth="8.5546875" defaultRowHeight="14.4" x14ac:dyDescent="0.3"/>
  <cols>
    <col min="1" max="1" width="29.77734375" style="44" customWidth="1"/>
    <col min="2" max="2" width="24.77734375" style="44" customWidth="1"/>
    <col min="3" max="3" width="4.33203125" style="44" customWidth="1"/>
    <col min="4" max="4" width="4.21875" style="44" customWidth="1"/>
    <col min="5" max="5" width="2.77734375" style="44" customWidth="1"/>
    <col min="6" max="6" width="14.33203125" style="101" customWidth="1"/>
    <col min="7" max="7" width="26.5546875" style="101" customWidth="1"/>
    <col min="8" max="8" width="19.5546875" style="101" customWidth="1"/>
    <col min="9" max="9" width="24.77734375" style="101" customWidth="1"/>
    <col min="10" max="10" width="19.77734375" style="101" customWidth="1"/>
    <col min="11" max="11" width="24.77734375" style="101" bestFit="1" customWidth="1"/>
    <col min="12" max="35" width="8.5546875" style="44" customWidth="1"/>
    <col min="36" max="16384" width="8.5546875" style="44"/>
  </cols>
  <sheetData>
    <row r="1" spans="1:11" ht="25.95" customHeight="1" x14ac:dyDescent="0.3">
      <c r="A1" s="181" t="s">
        <v>0</v>
      </c>
      <c r="B1" s="182"/>
      <c r="F1" s="93" t="s">
        <v>1</v>
      </c>
      <c r="G1" s="93" t="s">
        <v>2</v>
      </c>
      <c r="H1" s="93" t="s">
        <v>3</v>
      </c>
      <c r="I1" s="94" t="s">
        <v>4</v>
      </c>
      <c r="J1" s="93" t="s">
        <v>5</v>
      </c>
      <c r="K1" s="93" t="s">
        <v>6</v>
      </c>
    </row>
    <row r="2" spans="1:11" ht="28.5" customHeight="1" x14ac:dyDescent="0.3">
      <c r="A2" s="91" t="s">
        <v>7</v>
      </c>
      <c r="B2" s="92" t="s">
        <v>6</v>
      </c>
      <c r="F2" s="95"/>
      <c r="G2" s="95"/>
      <c r="H2" s="97" t="s">
        <v>8</v>
      </c>
      <c r="I2" s="97"/>
      <c r="J2" s="95"/>
      <c r="K2" s="98"/>
    </row>
    <row r="3" spans="1:11" ht="25.95" customHeight="1" x14ac:dyDescent="0.3">
      <c r="A3" s="43" t="s">
        <v>9</v>
      </c>
      <c r="F3" s="95"/>
      <c r="G3" s="95"/>
      <c r="H3" s="96"/>
      <c r="I3" s="96"/>
      <c r="J3" s="95"/>
      <c r="K3" s="98"/>
    </row>
    <row r="4" spans="1:11" ht="42" customHeight="1" x14ac:dyDescent="0.3">
      <c r="A4" s="42" t="s">
        <v>10</v>
      </c>
      <c r="F4" s="95"/>
      <c r="G4" s="95"/>
      <c r="H4" s="96"/>
      <c r="I4" s="97"/>
      <c r="J4" s="95"/>
      <c r="K4" s="98"/>
    </row>
    <row r="5" spans="1:11" x14ac:dyDescent="0.3">
      <c r="F5" s="95"/>
      <c r="G5" s="99"/>
      <c r="H5" s="96"/>
      <c r="I5" s="97"/>
      <c r="J5" s="95"/>
      <c r="K5" s="98"/>
    </row>
    <row r="6" spans="1:11" x14ac:dyDescent="0.3">
      <c r="F6" s="95"/>
      <c r="G6" s="95"/>
      <c r="H6" s="96"/>
      <c r="I6" s="97"/>
      <c r="J6" s="95"/>
      <c r="K6" s="98"/>
    </row>
    <row r="7" spans="1:11" x14ac:dyDescent="0.3">
      <c r="F7" s="95"/>
      <c r="G7" s="95"/>
      <c r="H7" s="96"/>
      <c r="I7" s="97"/>
      <c r="J7" s="100"/>
      <c r="K7" s="98"/>
    </row>
  </sheetData>
  <mergeCells count="1">
    <mergeCell ref="A1:B1"/>
  </mergeCells>
  <dataValidations count="3">
    <dataValidation type="list" allowBlank="1" showInputMessage="1" showErrorMessage="1" sqref="A4" xr:uid="{00000000-0002-0000-0000-000000000000}">
      <formula1>lst_catgry</formula1>
    </dataValidation>
    <dataValidation type="list" allowBlank="1" showInputMessage="1" showErrorMessage="1" sqref="J2" xr:uid="{00000000-0002-0000-0000-000001000000}">
      <formula1>"Sig Brands"</formula1>
    </dataValidation>
    <dataValidation type="list" allowBlank="1" showInputMessage="1" showErrorMessage="1" sqref="B2" xr:uid="{00000000-0002-0000-0000-000002000000}">
      <formula1>$F$1:$K$1</formula1>
    </dataValidation>
  </dataValidations>
  <pageMargins left="0.7" right="0.7" top="0.75" bottom="0.75" header="0.3" footer="0.3"/>
  <pageSetup orientation="portrait"/>
  <rowBreaks count="1" manualBreakCount="1">
    <brk id="38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rgb="FF00B050"/>
  </sheetPr>
  <dimension ref="A1:I25"/>
  <sheetViews>
    <sheetView showGridLines="0" zoomScaleNormal="100" workbookViewId="0">
      <selection activeCell="H3" sqref="H3"/>
    </sheetView>
  </sheetViews>
  <sheetFormatPr defaultColWidth="9.33203125" defaultRowHeight="14.4" x14ac:dyDescent="0.3"/>
  <cols>
    <col min="1" max="1" width="23.33203125" style="21" customWidth="1"/>
    <col min="2" max="2" width="20" style="102" customWidth="1"/>
    <col min="3" max="3" width="43.109375" style="21" customWidth="1"/>
    <col min="4" max="4" width="12.77734375" style="102" customWidth="1"/>
    <col min="5" max="6" width="5.6640625" customWidth="1"/>
    <col min="7" max="7" width="26.109375" customWidth="1"/>
    <col min="8" max="8" width="50.5546875" customWidth="1"/>
    <col min="9" max="9" width="31.109375" customWidth="1"/>
  </cols>
  <sheetData>
    <row r="1" spans="1:9" ht="24" customHeight="1" x14ac:dyDescent="0.3">
      <c r="A1" s="33" t="s">
        <v>11</v>
      </c>
      <c r="B1" s="33" t="s">
        <v>12</v>
      </c>
      <c r="C1" s="33" t="s">
        <v>13</v>
      </c>
      <c r="D1" s="47" t="s">
        <v>14</v>
      </c>
      <c r="G1" s="55" t="s">
        <v>15</v>
      </c>
      <c r="H1" s="56" t="s">
        <v>16</v>
      </c>
      <c r="I1" s="56" t="s">
        <v>17</v>
      </c>
    </row>
    <row r="2" spans="1:9" x14ac:dyDescent="0.3">
      <c r="A2" s="48" t="s">
        <v>18</v>
      </c>
      <c r="B2" s="48" t="s">
        <v>19</v>
      </c>
      <c r="C2" s="48">
        <v>8</v>
      </c>
      <c r="D2" s="48"/>
      <c r="G2" s="49" t="s">
        <v>20</v>
      </c>
      <c r="H2" s="50" t="e">
        <f t="array" aca="1" ref="H2" ca="1">Comma_sep_lst("Brand_list")</f>
        <v>#VALUE!</v>
      </c>
      <c r="I2" s="50" t="e">
        <f t="array" aca="1" ref="I2" ca="1">Comma_sep_lst("Pricing_Segments",5,2)</f>
        <v>#VALUE!</v>
      </c>
    </row>
    <row r="3" spans="1:9" x14ac:dyDescent="0.3">
      <c r="A3" s="48" t="s">
        <v>18</v>
      </c>
      <c r="B3" s="48" t="s">
        <v>21</v>
      </c>
      <c r="C3" s="48">
        <v>6</v>
      </c>
      <c r="D3" s="48"/>
      <c r="G3" s="51" t="s">
        <v>22</v>
      </c>
      <c r="H3" s="52" t="e">
        <f t="array" aca="1" ref="H3" ca="1">CLONE1LEVELLIST("Pricing_Segments")</f>
        <v>#VALUE!</v>
      </c>
      <c r="I3" s="52" t="e">
        <f t="array" aca="1" ref="I3" ca="1">CLONE1LEVELLIST("Pricing_Segments",2,3,"Barriers")</f>
        <v>#VALUE!</v>
      </c>
    </row>
    <row r="4" spans="1:9" x14ac:dyDescent="0.3">
      <c r="A4" s="48" t="s">
        <v>18</v>
      </c>
      <c r="B4" s="48" t="s">
        <v>23</v>
      </c>
      <c r="C4" s="48">
        <v>4</v>
      </c>
      <c r="D4" s="48"/>
      <c r="G4" s="53" t="s">
        <v>24</v>
      </c>
      <c r="H4" s="54" t="e">
        <f t="array" aca="1" ref="H4" ca="1">CLONE2LEVELLIST("Pricing_Segments","Brand_list",1,"Barriers")</f>
        <v>#VALUE!</v>
      </c>
      <c r="I4" s="54"/>
    </row>
    <row r="5" spans="1:9" x14ac:dyDescent="0.3">
      <c r="A5" s="48" t="s">
        <v>18</v>
      </c>
      <c r="B5" s="48" t="s">
        <v>25</v>
      </c>
      <c r="C5" s="48">
        <v>4</v>
      </c>
      <c r="D5" s="48"/>
      <c r="G5" s="57" t="s">
        <v>26</v>
      </c>
      <c r="H5" s="58" t="e">
        <f t="array" aca="1" ref="H5" ca="1">CLONE1LEVELLIST_RPTSTRING("Pricing_Segments",2)</f>
        <v>#VALUE!</v>
      </c>
      <c r="I5" s="58"/>
    </row>
    <row r="6" spans="1:9" x14ac:dyDescent="0.3">
      <c r="A6" s="48" t="s">
        <v>18</v>
      </c>
      <c r="B6" s="48" t="s">
        <v>27</v>
      </c>
      <c r="C6" s="48">
        <v>6</v>
      </c>
      <c r="D6" s="48"/>
    </row>
    <row r="7" spans="1:9" x14ac:dyDescent="0.3">
      <c r="A7" s="48" t="s">
        <v>18</v>
      </c>
      <c r="B7" s="48" t="s">
        <v>28</v>
      </c>
      <c r="C7" s="48">
        <v>1</v>
      </c>
      <c r="D7" s="48"/>
      <c r="G7" s="89" t="s">
        <v>29</v>
      </c>
    </row>
    <row r="8" spans="1:9" x14ac:dyDescent="0.3">
      <c r="A8" s="48" t="s">
        <v>18</v>
      </c>
      <c r="B8" s="48" t="s">
        <v>30</v>
      </c>
      <c r="C8" s="48">
        <v>12</v>
      </c>
      <c r="D8" s="32"/>
    </row>
    <row r="9" spans="1:9" x14ac:dyDescent="0.3">
      <c r="A9" s="48" t="s">
        <v>18</v>
      </c>
      <c r="B9" s="48" t="s">
        <v>31</v>
      </c>
      <c r="C9" s="48">
        <v>5</v>
      </c>
      <c r="D9" s="32"/>
    </row>
    <row r="10" spans="1:9" x14ac:dyDescent="0.3">
      <c r="A10" s="48" t="s">
        <v>18</v>
      </c>
      <c r="B10" s="48" t="s">
        <v>32</v>
      </c>
      <c r="C10" s="48">
        <v>9</v>
      </c>
      <c r="D10" s="32"/>
    </row>
    <row r="11" spans="1:9" x14ac:dyDescent="0.3">
      <c r="A11" s="48" t="s">
        <v>18</v>
      </c>
      <c r="B11" s="48" t="s">
        <v>33</v>
      </c>
      <c r="C11" s="48">
        <v>11</v>
      </c>
      <c r="D11" s="32"/>
    </row>
    <row r="12" spans="1:9" x14ac:dyDescent="0.3">
      <c r="A12" s="45"/>
      <c r="B12" s="28"/>
      <c r="C12" s="24"/>
      <c r="D12" s="32"/>
    </row>
    <row r="13" spans="1:9" x14ac:dyDescent="0.3">
      <c r="A13" s="45"/>
      <c r="B13" s="28"/>
      <c r="C13" s="24"/>
      <c r="D13" s="32"/>
    </row>
    <row r="14" spans="1:9" x14ac:dyDescent="0.3">
      <c r="A14" s="45"/>
      <c r="B14" s="28"/>
      <c r="C14" s="24"/>
      <c r="D14" s="32"/>
    </row>
    <row r="15" spans="1:9" x14ac:dyDescent="0.3">
      <c r="A15" s="45"/>
      <c r="B15" s="28"/>
      <c r="C15" s="24"/>
      <c r="D15" s="32"/>
    </row>
    <row r="16" spans="1:9" x14ac:dyDescent="0.3">
      <c r="A16" s="45"/>
      <c r="B16" s="28"/>
      <c r="C16" s="24"/>
      <c r="D16" s="32"/>
    </row>
    <row r="17" spans="1:4" x14ac:dyDescent="0.3">
      <c r="A17" s="45"/>
      <c r="B17" s="28"/>
      <c r="C17" s="24"/>
      <c r="D17" s="32"/>
    </row>
    <row r="18" spans="1:4" x14ac:dyDescent="0.3">
      <c r="A18" s="45"/>
      <c r="B18" s="28"/>
      <c r="C18" s="24"/>
      <c r="D18" s="32"/>
    </row>
    <row r="19" spans="1:4" x14ac:dyDescent="0.3">
      <c r="A19" s="45"/>
      <c r="B19" s="28"/>
      <c r="C19" s="24"/>
      <c r="D19" s="32"/>
    </row>
    <row r="20" spans="1:4" x14ac:dyDescent="0.3">
      <c r="A20" s="45"/>
      <c r="B20" s="28"/>
      <c r="D20" s="32"/>
    </row>
    <row r="21" spans="1:4" x14ac:dyDescent="0.3">
      <c r="A21" s="45"/>
      <c r="B21" s="28"/>
      <c r="D21" s="32"/>
    </row>
    <row r="22" spans="1:4" x14ac:dyDescent="0.3">
      <c r="A22" s="45"/>
      <c r="B22" s="28"/>
      <c r="D22" s="32"/>
    </row>
    <row r="23" spans="1:4" x14ac:dyDescent="0.3">
      <c r="A23" s="45"/>
      <c r="B23" s="28"/>
      <c r="D23" s="32"/>
    </row>
    <row r="24" spans="1:4" x14ac:dyDescent="0.3">
      <c r="A24" s="45"/>
      <c r="B24" s="28"/>
      <c r="D24" s="32"/>
    </row>
    <row r="25" spans="1:4" x14ac:dyDescent="0.3">
      <c r="A25" s="45"/>
      <c r="B25" s="28"/>
      <c r="D25" s="32"/>
    </row>
  </sheetData>
  <dataValidations count="1">
    <dataValidation type="list" allowBlank="1" showInputMessage="1" showErrorMessage="1" sqref="D8:D25" xr:uid="{00000000-0002-0000-0100-000000000000}">
      <formula1>"Yes"</formula1>
    </dataValidation>
  </dataValidation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00B0F0"/>
  </sheetPr>
  <dimension ref="A1:H407"/>
  <sheetViews>
    <sheetView zoomScale="84" zoomScaleNormal="100" workbookViewId="0">
      <selection activeCell="A5" sqref="A5"/>
    </sheetView>
  </sheetViews>
  <sheetFormatPr defaultRowHeight="14.4" x14ac:dyDescent="0.3"/>
  <cols>
    <col min="1" max="1" width="12.5546875" customWidth="1"/>
    <col min="2" max="2" width="16.33203125" customWidth="1"/>
    <col min="3" max="3" width="44.5546875" customWidth="1"/>
    <col min="4" max="4" width="76.5546875" bestFit="1" customWidth="1"/>
    <col min="6" max="6" width="14.33203125" customWidth="1"/>
  </cols>
  <sheetData>
    <row r="1" spans="1:8" s="22" customFormat="1" ht="44.1" customHeight="1" x14ac:dyDescent="0.3">
      <c r="A1" s="103" t="s">
        <v>34</v>
      </c>
      <c r="B1" s="103" t="s">
        <v>35</v>
      </c>
      <c r="C1" s="103" t="s">
        <v>36</v>
      </c>
      <c r="D1" s="103" t="s">
        <v>37</v>
      </c>
      <c r="E1" s="103" t="s">
        <v>38</v>
      </c>
      <c r="F1" s="103" t="s">
        <v>9</v>
      </c>
      <c r="G1" s="103" t="s">
        <v>39</v>
      </c>
      <c r="H1" s="103" t="s">
        <v>13</v>
      </c>
    </row>
    <row r="2" spans="1:8" x14ac:dyDescent="0.3">
      <c r="A2" t="s">
        <v>40</v>
      </c>
      <c r="C2" t="s">
        <v>41</v>
      </c>
      <c r="D2" t="s">
        <v>42</v>
      </c>
      <c r="E2" t="s">
        <v>43</v>
      </c>
    </row>
    <row r="3" spans="1:8" x14ac:dyDescent="0.3">
      <c r="A3" t="s">
        <v>44</v>
      </c>
      <c r="C3" t="s">
        <v>44</v>
      </c>
      <c r="D3" t="s">
        <v>45</v>
      </c>
      <c r="E3" t="s">
        <v>46</v>
      </c>
    </row>
    <row r="4" spans="1:8" x14ac:dyDescent="0.3">
      <c r="A4" t="s">
        <v>47</v>
      </c>
      <c r="C4" t="s">
        <v>48</v>
      </c>
      <c r="D4" t="s">
        <v>49</v>
      </c>
      <c r="E4" t="s">
        <v>50</v>
      </c>
    </row>
    <row r="5" spans="1:8" x14ac:dyDescent="0.3">
      <c r="A5" t="s">
        <v>51</v>
      </c>
      <c r="C5" t="s">
        <v>52</v>
      </c>
      <c r="D5" t="s">
        <v>53</v>
      </c>
    </row>
    <row r="6" spans="1:8" x14ac:dyDescent="0.3">
      <c r="A6" t="s">
        <v>54</v>
      </c>
      <c r="C6" t="s">
        <v>47</v>
      </c>
      <c r="D6" t="s">
        <v>55</v>
      </c>
    </row>
    <row r="7" spans="1:8" x14ac:dyDescent="0.3">
      <c r="A7" t="s">
        <v>56</v>
      </c>
      <c r="C7" t="s">
        <v>51</v>
      </c>
      <c r="D7" t="s">
        <v>57</v>
      </c>
    </row>
    <row r="8" spans="1:8" x14ac:dyDescent="0.3">
      <c r="A8" t="s">
        <v>58</v>
      </c>
      <c r="C8" t="s">
        <v>59</v>
      </c>
      <c r="D8" t="s">
        <v>60</v>
      </c>
    </row>
    <row r="9" spans="1:8" x14ac:dyDescent="0.3">
      <c r="A9" t="s">
        <v>61</v>
      </c>
      <c r="C9" t="s">
        <v>62</v>
      </c>
      <c r="D9" t="s">
        <v>63</v>
      </c>
    </row>
    <row r="10" spans="1:8" x14ac:dyDescent="0.3">
      <c r="A10" t="s">
        <v>64</v>
      </c>
      <c r="C10" t="s">
        <v>65</v>
      </c>
      <c r="D10" t="s">
        <v>66</v>
      </c>
    </row>
    <row r="11" spans="1:8" x14ac:dyDescent="0.3">
      <c r="A11" t="s">
        <v>67</v>
      </c>
      <c r="C11" t="s">
        <v>68</v>
      </c>
      <c r="D11" t="s">
        <v>69</v>
      </c>
    </row>
    <row r="12" spans="1:8" x14ac:dyDescent="0.3">
      <c r="A12" t="s">
        <v>70</v>
      </c>
      <c r="C12" t="s">
        <v>71</v>
      </c>
      <c r="D12" t="s">
        <v>72</v>
      </c>
    </row>
    <row r="13" spans="1:8" x14ac:dyDescent="0.3">
      <c r="A13" t="s">
        <v>73</v>
      </c>
      <c r="C13" t="s">
        <v>74</v>
      </c>
      <c r="D13" t="s">
        <v>75</v>
      </c>
    </row>
    <row r="14" spans="1:8" x14ac:dyDescent="0.3">
      <c r="A14" t="s">
        <v>76</v>
      </c>
      <c r="C14" t="s">
        <v>77</v>
      </c>
      <c r="D14" t="s">
        <v>78</v>
      </c>
    </row>
    <row r="15" spans="1:8" x14ac:dyDescent="0.3">
      <c r="C15" t="s">
        <v>79</v>
      </c>
      <c r="D15" t="s">
        <v>80</v>
      </c>
    </row>
    <row r="16" spans="1:8" x14ac:dyDescent="0.3">
      <c r="C16" t="s">
        <v>64</v>
      </c>
      <c r="D16" t="s">
        <v>81</v>
      </c>
    </row>
    <row r="17" spans="3:4" x14ac:dyDescent="0.3">
      <c r="C17" t="s">
        <v>58</v>
      </c>
      <c r="D17" t="s">
        <v>82</v>
      </c>
    </row>
    <row r="18" spans="3:4" x14ac:dyDescent="0.3">
      <c r="C18" t="s">
        <v>56</v>
      </c>
      <c r="D18" t="s">
        <v>83</v>
      </c>
    </row>
    <row r="19" spans="3:4" x14ac:dyDescent="0.3">
      <c r="C19" t="s">
        <v>61</v>
      </c>
      <c r="D19" t="s">
        <v>84</v>
      </c>
    </row>
    <row r="20" spans="3:4" x14ac:dyDescent="0.3">
      <c r="C20" t="s">
        <v>85</v>
      </c>
      <c r="D20" t="s">
        <v>86</v>
      </c>
    </row>
    <row r="21" spans="3:4" x14ac:dyDescent="0.3">
      <c r="C21" t="s">
        <v>87</v>
      </c>
      <c r="D21" t="s">
        <v>88</v>
      </c>
    </row>
    <row r="22" spans="3:4" x14ac:dyDescent="0.3">
      <c r="C22" t="s">
        <v>89</v>
      </c>
      <c r="D22" t="s">
        <v>90</v>
      </c>
    </row>
    <row r="23" spans="3:4" x14ac:dyDescent="0.3">
      <c r="C23" t="s">
        <v>91</v>
      </c>
      <c r="D23" t="s">
        <v>92</v>
      </c>
    </row>
    <row r="24" spans="3:4" x14ac:dyDescent="0.3">
      <c r="C24" t="s">
        <v>93</v>
      </c>
    </row>
    <row r="25" spans="3:4" x14ac:dyDescent="0.3">
      <c r="C25" t="s">
        <v>94</v>
      </c>
      <c r="D25" t="s">
        <v>95</v>
      </c>
    </row>
    <row r="26" spans="3:4" x14ac:dyDescent="0.3">
      <c r="C26" t="s">
        <v>96</v>
      </c>
      <c r="D26" t="s">
        <v>97</v>
      </c>
    </row>
    <row r="27" spans="3:4" x14ac:dyDescent="0.3">
      <c r="C27" t="s">
        <v>98</v>
      </c>
      <c r="D27" t="s">
        <v>99</v>
      </c>
    </row>
    <row r="28" spans="3:4" x14ac:dyDescent="0.3">
      <c r="C28" t="s">
        <v>100</v>
      </c>
      <c r="D28" t="s">
        <v>101</v>
      </c>
    </row>
    <row r="29" spans="3:4" x14ac:dyDescent="0.3">
      <c r="C29" t="s">
        <v>102</v>
      </c>
      <c r="D29" t="s">
        <v>103</v>
      </c>
    </row>
    <row r="30" spans="3:4" x14ac:dyDescent="0.3">
      <c r="C30" t="s">
        <v>104</v>
      </c>
      <c r="D30" t="s">
        <v>105</v>
      </c>
    </row>
    <row r="31" spans="3:4" x14ac:dyDescent="0.3">
      <c r="C31" t="s">
        <v>106</v>
      </c>
      <c r="D31" t="s">
        <v>107</v>
      </c>
    </row>
    <row r="32" spans="3:4" x14ac:dyDescent="0.3">
      <c r="C32" t="s">
        <v>108</v>
      </c>
      <c r="D32" t="s">
        <v>109</v>
      </c>
    </row>
    <row r="33" spans="3:4" x14ac:dyDescent="0.3">
      <c r="C33" t="s">
        <v>110</v>
      </c>
      <c r="D33" t="s">
        <v>111</v>
      </c>
    </row>
    <row r="34" spans="3:4" x14ac:dyDescent="0.3">
      <c r="C34" t="s">
        <v>112</v>
      </c>
      <c r="D34" t="s">
        <v>113</v>
      </c>
    </row>
    <row r="35" spans="3:4" x14ac:dyDescent="0.3">
      <c r="C35" t="s">
        <v>114</v>
      </c>
      <c r="D35" t="s">
        <v>115</v>
      </c>
    </row>
    <row r="36" spans="3:4" x14ac:dyDescent="0.3">
      <c r="C36" t="s">
        <v>116</v>
      </c>
      <c r="D36" t="s">
        <v>117</v>
      </c>
    </row>
    <row r="37" spans="3:4" x14ac:dyDescent="0.3">
      <c r="C37" t="s">
        <v>118</v>
      </c>
      <c r="D37" t="s">
        <v>119</v>
      </c>
    </row>
    <row r="38" spans="3:4" x14ac:dyDescent="0.3">
      <c r="C38" t="s">
        <v>120</v>
      </c>
      <c r="D38" t="s">
        <v>121</v>
      </c>
    </row>
    <row r="39" spans="3:4" x14ac:dyDescent="0.3">
      <c r="C39" t="s">
        <v>122</v>
      </c>
      <c r="D39" t="s">
        <v>123</v>
      </c>
    </row>
    <row r="40" spans="3:4" x14ac:dyDescent="0.3">
      <c r="C40" t="s">
        <v>124</v>
      </c>
      <c r="D40" t="s">
        <v>125</v>
      </c>
    </row>
    <row r="41" spans="3:4" x14ac:dyDescent="0.3">
      <c r="C41" t="s">
        <v>126</v>
      </c>
      <c r="D41" t="s">
        <v>127</v>
      </c>
    </row>
    <row r="42" spans="3:4" x14ac:dyDescent="0.3">
      <c r="C42" t="s">
        <v>128</v>
      </c>
      <c r="D42" t="s">
        <v>129</v>
      </c>
    </row>
    <row r="43" spans="3:4" x14ac:dyDescent="0.3">
      <c r="C43" t="s">
        <v>130</v>
      </c>
      <c r="D43" t="s">
        <v>131</v>
      </c>
    </row>
    <row r="44" spans="3:4" x14ac:dyDescent="0.3">
      <c r="C44" t="s">
        <v>132</v>
      </c>
      <c r="D44" t="s">
        <v>133</v>
      </c>
    </row>
    <row r="45" spans="3:4" x14ac:dyDescent="0.3">
      <c r="C45" t="s">
        <v>134</v>
      </c>
      <c r="D45" t="s">
        <v>135</v>
      </c>
    </row>
    <row r="46" spans="3:4" x14ac:dyDescent="0.3">
      <c r="C46" t="s">
        <v>136</v>
      </c>
      <c r="D46" t="s">
        <v>137</v>
      </c>
    </row>
    <row r="47" spans="3:4" x14ac:dyDescent="0.3">
      <c r="C47" t="s">
        <v>138</v>
      </c>
      <c r="D47" t="s">
        <v>139</v>
      </c>
    </row>
    <row r="48" spans="3:4" x14ac:dyDescent="0.3">
      <c r="C48" t="s">
        <v>140</v>
      </c>
      <c r="D48" t="s">
        <v>141</v>
      </c>
    </row>
    <row r="49" spans="3:4" x14ac:dyDescent="0.3">
      <c r="C49" t="s">
        <v>142</v>
      </c>
      <c r="D49" t="s">
        <v>143</v>
      </c>
    </row>
    <row r="50" spans="3:4" x14ac:dyDescent="0.3">
      <c r="C50" t="s">
        <v>144</v>
      </c>
      <c r="D50" t="s">
        <v>145</v>
      </c>
    </row>
    <row r="51" spans="3:4" x14ac:dyDescent="0.3">
      <c r="C51" t="s">
        <v>146</v>
      </c>
    </row>
    <row r="52" spans="3:4" x14ac:dyDescent="0.3">
      <c r="C52" t="s">
        <v>147</v>
      </c>
    </row>
    <row r="53" spans="3:4" x14ac:dyDescent="0.3">
      <c r="C53" t="s">
        <v>148</v>
      </c>
    </row>
    <row r="54" spans="3:4" x14ac:dyDescent="0.3">
      <c r="C54" t="s">
        <v>149</v>
      </c>
    </row>
    <row r="56" spans="3:4" x14ac:dyDescent="0.3">
      <c r="C56" t="s">
        <v>150</v>
      </c>
    </row>
    <row r="57" spans="3:4" x14ac:dyDescent="0.3">
      <c r="C57" t="s">
        <v>151</v>
      </c>
    </row>
    <row r="58" spans="3:4" x14ac:dyDescent="0.3">
      <c r="C58" t="s">
        <v>152</v>
      </c>
    </row>
    <row r="59" spans="3:4" x14ac:dyDescent="0.3">
      <c r="C59" t="s">
        <v>153</v>
      </c>
    </row>
    <row r="60" spans="3:4" x14ac:dyDescent="0.3">
      <c r="C60" t="s">
        <v>154</v>
      </c>
    </row>
    <row r="61" spans="3:4" x14ac:dyDescent="0.3">
      <c r="C61" t="s">
        <v>155</v>
      </c>
    </row>
    <row r="62" spans="3:4" x14ac:dyDescent="0.3">
      <c r="C62" t="s">
        <v>156</v>
      </c>
    </row>
    <row r="63" spans="3:4" x14ac:dyDescent="0.3">
      <c r="C63" t="s">
        <v>157</v>
      </c>
    </row>
    <row r="64" spans="3:4" x14ac:dyDescent="0.3">
      <c r="C64" t="s">
        <v>158</v>
      </c>
    </row>
    <row r="65" spans="3:3" x14ac:dyDescent="0.3">
      <c r="C65" t="s">
        <v>159</v>
      </c>
    </row>
    <row r="66" spans="3:3" x14ac:dyDescent="0.3">
      <c r="C66" t="s">
        <v>160</v>
      </c>
    </row>
    <row r="67" spans="3:3" x14ac:dyDescent="0.3">
      <c r="C67" t="s">
        <v>161</v>
      </c>
    </row>
    <row r="68" spans="3:3" x14ac:dyDescent="0.3">
      <c r="C68" t="s">
        <v>162</v>
      </c>
    </row>
    <row r="69" spans="3:3" x14ac:dyDescent="0.3">
      <c r="C69" t="s">
        <v>163</v>
      </c>
    </row>
    <row r="70" spans="3:3" x14ac:dyDescent="0.3">
      <c r="C70" t="s">
        <v>164</v>
      </c>
    </row>
    <row r="71" spans="3:3" x14ac:dyDescent="0.3">
      <c r="C71" t="s">
        <v>165</v>
      </c>
    </row>
    <row r="72" spans="3:3" x14ac:dyDescent="0.3">
      <c r="C72" t="s">
        <v>103</v>
      </c>
    </row>
    <row r="73" spans="3:3" x14ac:dyDescent="0.3">
      <c r="C73" t="s">
        <v>166</v>
      </c>
    </row>
    <row r="74" spans="3:3" x14ac:dyDescent="0.3">
      <c r="C74" t="s">
        <v>167</v>
      </c>
    </row>
    <row r="75" spans="3:3" x14ac:dyDescent="0.3">
      <c r="C75" t="s">
        <v>168</v>
      </c>
    </row>
    <row r="76" spans="3:3" x14ac:dyDescent="0.3">
      <c r="C76" t="s">
        <v>169</v>
      </c>
    </row>
    <row r="77" spans="3:3" x14ac:dyDescent="0.3">
      <c r="C77" t="s">
        <v>170</v>
      </c>
    </row>
    <row r="78" spans="3:3" x14ac:dyDescent="0.3">
      <c r="C78" t="s">
        <v>171</v>
      </c>
    </row>
    <row r="79" spans="3:3" x14ac:dyDescent="0.3">
      <c r="C79" t="s">
        <v>172</v>
      </c>
    </row>
    <row r="80" spans="3:3" x14ac:dyDescent="0.3">
      <c r="C80" t="s">
        <v>173</v>
      </c>
    </row>
    <row r="81" spans="3:3" x14ac:dyDescent="0.3">
      <c r="C81" t="s">
        <v>174</v>
      </c>
    </row>
    <row r="82" spans="3:3" x14ac:dyDescent="0.3">
      <c r="C82" t="s">
        <v>175</v>
      </c>
    </row>
    <row r="83" spans="3:3" x14ac:dyDescent="0.3">
      <c r="C83" t="s">
        <v>176</v>
      </c>
    </row>
    <row r="84" spans="3:3" x14ac:dyDescent="0.3">
      <c r="C84" t="s">
        <v>177</v>
      </c>
    </row>
    <row r="85" spans="3:3" x14ac:dyDescent="0.3">
      <c r="C85" t="s">
        <v>178</v>
      </c>
    </row>
    <row r="86" spans="3:3" x14ac:dyDescent="0.3">
      <c r="C86" t="s">
        <v>179</v>
      </c>
    </row>
    <row r="87" spans="3:3" x14ac:dyDescent="0.3">
      <c r="C87" t="s">
        <v>180</v>
      </c>
    </row>
    <row r="88" spans="3:3" x14ac:dyDescent="0.3">
      <c r="C88" t="s">
        <v>181</v>
      </c>
    </row>
    <row r="89" spans="3:3" x14ac:dyDescent="0.3">
      <c r="C89" t="s">
        <v>182</v>
      </c>
    </row>
    <row r="90" spans="3:3" x14ac:dyDescent="0.3">
      <c r="C90" t="s">
        <v>183</v>
      </c>
    </row>
    <row r="91" spans="3:3" x14ac:dyDescent="0.3">
      <c r="C91" t="s">
        <v>184</v>
      </c>
    </row>
    <row r="92" spans="3:3" x14ac:dyDescent="0.3">
      <c r="C92" t="s">
        <v>185</v>
      </c>
    </row>
    <row r="93" spans="3:3" x14ac:dyDescent="0.3">
      <c r="C93" t="s">
        <v>186</v>
      </c>
    </row>
    <row r="94" spans="3:3" x14ac:dyDescent="0.3">
      <c r="C94" t="s">
        <v>187</v>
      </c>
    </row>
    <row r="95" spans="3:3" x14ac:dyDescent="0.3">
      <c r="C95" t="s">
        <v>188</v>
      </c>
    </row>
    <row r="96" spans="3:3" x14ac:dyDescent="0.3">
      <c r="C96" t="s">
        <v>189</v>
      </c>
    </row>
    <row r="97" spans="3:3" x14ac:dyDescent="0.3">
      <c r="C97" t="s">
        <v>190</v>
      </c>
    </row>
    <row r="98" spans="3:3" x14ac:dyDescent="0.3">
      <c r="C98" t="s">
        <v>191</v>
      </c>
    </row>
    <row r="99" spans="3:3" x14ac:dyDescent="0.3">
      <c r="C99" t="s">
        <v>192</v>
      </c>
    </row>
    <row r="100" spans="3:3" x14ac:dyDescent="0.3">
      <c r="C100" t="s">
        <v>193</v>
      </c>
    </row>
    <row r="101" spans="3:3" x14ac:dyDescent="0.3">
      <c r="C101" t="s">
        <v>194</v>
      </c>
    </row>
    <row r="102" spans="3:3" x14ac:dyDescent="0.3">
      <c r="C102" t="s">
        <v>195</v>
      </c>
    </row>
    <row r="103" spans="3:3" x14ac:dyDescent="0.3">
      <c r="C103" t="s">
        <v>196</v>
      </c>
    </row>
    <row r="104" spans="3:3" x14ac:dyDescent="0.3">
      <c r="C104" t="s">
        <v>197</v>
      </c>
    </row>
    <row r="105" spans="3:3" x14ac:dyDescent="0.3">
      <c r="C105" t="s">
        <v>198</v>
      </c>
    </row>
    <row r="106" spans="3:3" x14ac:dyDescent="0.3">
      <c r="C106" t="s">
        <v>199</v>
      </c>
    </row>
    <row r="107" spans="3:3" x14ac:dyDescent="0.3">
      <c r="C107" t="s">
        <v>200</v>
      </c>
    </row>
    <row r="108" spans="3:3" x14ac:dyDescent="0.3">
      <c r="C108" t="s">
        <v>201</v>
      </c>
    </row>
    <row r="109" spans="3:3" x14ac:dyDescent="0.3">
      <c r="C109" t="s">
        <v>202</v>
      </c>
    </row>
    <row r="110" spans="3:3" x14ac:dyDescent="0.3">
      <c r="C110" t="s">
        <v>203</v>
      </c>
    </row>
    <row r="111" spans="3:3" x14ac:dyDescent="0.3">
      <c r="C111" t="s">
        <v>204</v>
      </c>
    </row>
    <row r="112" spans="3:3" x14ac:dyDescent="0.3">
      <c r="C112" t="s">
        <v>205</v>
      </c>
    </row>
    <row r="113" spans="3:3" x14ac:dyDescent="0.3">
      <c r="C113" t="s">
        <v>206</v>
      </c>
    </row>
    <row r="114" spans="3:3" x14ac:dyDescent="0.3">
      <c r="C114" t="s">
        <v>207</v>
      </c>
    </row>
    <row r="115" spans="3:3" x14ac:dyDescent="0.3">
      <c r="C115" t="s">
        <v>208</v>
      </c>
    </row>
    <row r="116" spans="3:3" x14ac:dyDescent="0.3">
      <c r="C116" t="s">
        <v>209</v>
      </c>
    </row>
    <row r="117" spans="3:3" x14ac:dyDescent="0.3">
      <c r="C117" t="s">
        <v>210</v>
      </c>
    </row>
    <row r="118" spans="3:3" x14ac:dyDescent="0.3">
      <c r="C118" t="s">
        <v>211</v>
      </c>
    </row>
    <row r="119" spans="3:3" x14ac:dyDescent="0.3">
      <c r="C119" t="s">
        <v>212</v>
      </c>
    </row>
    <row r="120" spans="3:3" x14ac:dyDescent="0.3">
      <c r="C120" t="s">
        <v>213</v>
      </c>
    </row>
    <row r="121" spans="3:3" x14ac:dyDescent="0.3">
      <c r="C121" t="s">
        <v>214</v>
      </c>
    </row>
    <row r="122" spans="3:3" x14ac:dyDescent="0.3">
      <c r="C122" t="s">
        <v>215</v>
      </c>
    </row>
    <row r="123" spans="3:3" x14ac:dyDescent="0.3">
      <c r="C123" t="s">
        <v>216</v>
      </c>
    </row>
    <row r="124" spans="3:3" x14ac:dyDescent="0.3">
      <c r="C124" t="s">
        <v>217</v>
      </c>
    </row>
    <row r="125" spans="3:3" x14ac:dyDescent="0.3">
      <c r="C125" t="s">
        <v>218</v>
      </c>
    </row>
    <row r="126" spans="3:3" x14ac:dyDescent="0.3">
      <c r="C126" t="s">
        <v>219</v>
      </c>
    </row>
    <row r="127" spans="3:3" x14ac:dyDescent="0.3">
      <c r="C127" t="s">
        <v>220</v>
      </c>
    </row>
    <row r="128" spans="3:3" x14ac:dyDescent="0.3">
      <c r="C128" t="s">
        <v>221</v>
      </c>
    </row>
    <row r="129" spans="3:3" x14ac:dyDescent="0.3">
      <c r="C129" t="s">
        <v>222</v>
      </c>
    </row>
    <row r="130" spans="3:3" x14ac:dyDescent="0.3">
      <c r="C130" t="s">
        <v>223</v>
      </c>
    </row>
    <row r="131" spans="3:3" x14ac:dyDescent="0.3">
      <c r="C131" t="s">
        <v>224</v>
      </c>
    </row>
    <row r="132" spans="3:3" x14ac:dyDescent="0.3">
      <c r="C132" t="s">
        <v>225</v>
      </c>
    </row>
    <row r="133" spans="3:3" x14ac:dyDescent="0.3">
      <c r="C133" t="s">
        <v>226</v>
      </c>
    </row>
    <row r="134" spans="3:3" x14ac:dyDescent="0.3">
      <c r="C134" t="s">
        <v>227</v>
      </c>
    </row>
    <row r="135" spans="3:3" x14ac:dyDescent="0.3">
      <c r="C135" t="s">
        <v>228</v>
      </c>
    </row>
    <row r="136" spans="3:3" x14ac:dyDescent="0.3">
      <c r="C136" t="s">
        <v>229</v>
      </c>
    </row>
    <row r="137" spans="3:3" x14ac:dyDescent="0.3">
      <c r="C137" t="s">
        <v>230</v>
      </c>
    </row>
    <row r="138" spans="3:3" x14ac:dyDescent="0.3">
      <c r="C138" t="s">
        <v>231</v>
      </c>
    </row>
    <row r="139" spans="3:3" x14ac:dyDescent="0.3">
      <c r="C139" t="s">
        <v>232</v>
      </c>
    </row>
    <row r="140" spans="3:3" x14ac:dyDescent="0.3">
      <c r="C140" t="s">
        <v>233</v>
      </c>
    </row>
    <row r="141" spans="3:3" x14ac:dyDescent="0.3">
      <c r="C141" t="s">
        <v>234</v>
      </c>
    </row>
    <row r="142" spans="3:3" x14ac:dyDescent="0.3">
      <c r="C142" t="s">
        <v>235</v>
      </c>
    </row>
    <row r="143" spans="3:3" x14ac:dyDescent="0.3">
      <c r="C143" t="s">
        <v>236</v>
      </c>
    </row>
    <row r="144" spans="3:3" x14ac:dyDescent="0.3">
      <c r="C144" t="s">
        <v>237</v>
      </c>
    </row>
    <row r="145" spans="3:3" x14ac:dyDescent="0.3">
      <c r="C145" t="s">
        <v>238</v>
      </c>
    </row>
    <row r="146" spans="3:3" x14ac:dyDescent="0.3">
      <c r="C146" t="s">
        <v>239</v>
      </c>
    </row>
    <row r="147" spans="3:3" x14ac:dyDescent="0.3">
      <c r="C147" t="s">
        <v>240</v>
      </c>
    </row>
    <row r="148" spans="3:3" x14ac:dyDescent="0.3">
      <c r="C148" t="s">
        <v>241</v>
      </c>
    </row>
    <row r="149" spans="3:3" x14ac:dyDescent="0.3">
      <c r="C149" t="s">
        <v>242</v>
      </c>
    </row>
    <row r="150" spans="3:3" x14ac:dyDescent="0.3">
      <c r="C150" t="s">
        <v>243</v>
      </c>
    </row>
    <row r="151" spans="3:3" x14ac:dyDescent="0.3">
      <c r="C151" t="s">
        <v>244</v>
      </c>
    </row>
    <row r="152" spans="3:3" x14ac:dyDescent="0.3">
      <c r="C152" t="s">
        <v>245</v>
      </c>
    </row>
    <row r="153" spans="3:3" x14ac:dyDescent="0.3">
      <c r="C153" t="s">
        <v>246</v>
      </c>
    </row>
    <row r="154" spans="3:3" x14ac:dyDescent="0.3">
      <c r="C154" t="s">
        <v>247</v>
      </c>
    </row>
    <row r="155" spans="3:3" x14ac:dyDescent="0.3">
      <c r="C155" t="s">
        <v>248</v>
      </c>
    </row>
    <row r="156" spans="3:3" x14ac:dyDescent="0.3">
      <c r="C156" t="s">
        <v>249</v>
      </c>
    </row>
    <row r="157" spans="3:3" x14ac:dyDescent="0.3">
      <c r="C157" t="s">
        <v>250</v>
      </c>
    </row>
    <row r="158" spans="3:3" x14ac:dyDescent="0.3">
      <c r="C158" t="s">
        <v>251</v>
      </c>
    </row>
    <row r="159" spans="3:3" x14ac:dyDescent="0.3">
      <c r="C159" t="s">
        <v>88</v>
      </c>
    </row>
    <row r="160" spans="3:3" x14ac:dyDescent="0.3">
      <c r="C160" t="s">
        <v>252</v>
      </c>
    </row>
    <row r="161" spans="3:3" x14ac:dyDescent="0.3">
      <c r="C161" t="s">
        <v>90</v>
      </c>
    </row>
    <row r="162" spans="3:3" x14ac:dyDescent="0.3">
      <c r="C162" t="s">
        <v>92</v>
      </c>
    </row>
    <row r="163" spans="3:3" x14ac:dyDescent="0.3">
      <c r="C163" t="s">
        <v>95</v>
      </c>
    </row>
    <row r="164" spans="3:3" x14ac:dyDescent="0.3">
      <c r="C164" t="s">
        <v>105</v>
      </c>
    </row>
    <row r="165" spans="3:3" x14ac:dyDescent="0.3">
      <c r="C165" t="s">
        <v>107</v>
      </c>
    </row>
    <row r="166" spans="3:3" x14ac:dyDescent="0.3">
      <c r="C166" t="s">
        <v>109</v>
      </c>
    </row>
    <row r="167" spans="3:3" x14ac:dyDescent="0.3">
      <c r="C167" t="s">
        <v>253</v>
      </c>
    </row>
    <row r="168" spans="3:3" x14ac:dyDescent="0.3">
      <c r="C168" t="s">
        <v>254</v>
      </c>
    </row>
    <row r="169" spans="3:3" x14ac:dyDescent="0.3">
      <c r="C169" t="s">
        <v>255</v>
      </c>
    </row>
    <row r="170" spans="3:3" x14ac:dyDescent="0.3">
      <c r="C170" t="s">
        <v>256</v>
      </c>
    </row>
    <row r="171" spans="3:3" x14ac:dyDescent="0.3">
      <c r="C171" t="s">
        <v>257</v>
      </c>
    </row>
    <row r="172" spans="3:3" x14ac:dyDescent="0.3">
      <c r="C172" t="s">
        <v>258</v>
      </c>
    </row>
    <row r="173" spans="3:3" x14ac:dyDescent="0.3">
      <c r="C173" t="s">
        <v>259</v>
      </c>
    </row>
    <row r="174" spans="3:3" x14ac:dyDescent="0.3">
      <c r="C174" t="s">
        <v>260</v>
      </c>
    </row>
    <row r="175" spans="3:3" x14ac:dyDescent="0.3">
      <c r="C175" t="s">
        <v>261</v>
      </c>
    </row>
    <row r="176" spans="3:3" x14ac:dyDescent="0.3">
      <c r="C176" t="s">
        <v>262</v>
      </c>
    </row>
    <row r="177" spans="3:3" x14ac:dyDescent="0.3">
      <c r="C177" t="s">
        <v>263</v>
      </c>
    </row>
    <row r="178" spans="3:3" x14ac:dyDescent="0.3">
      <c r="C178" t="s">
        <v>264</v>
      </c>
    </row>
    <row r="179" spans="3:3" x14ac:dyDescent="0.3">
      <c r="C179" t="s">
        <v>265</v>
      </c>
    </row>
    <row r="180" spans="3:3" x14ac:dyDescent="0.3">
      <c r="C180" t="s">
        <v>266</v>
      </c>
    </row>
    <row r="181" spans="3:3" x14ac:dyDescent="0.3">
      <c r="C181" t="s">
        <v>267</v>
      </c>
    </row>
    <row r="182" spans="3:3" x14ac:dyDescent="0.3">
      <c r="C182" t="s">
        <v>268</v>
      </c>
    </row>
    <row r="183" spans="3:3" x14ac:dyDescent="0.3">
      <c r="C183" t="s">
        <v>269</v>
      </c>
    </row>
    <row r="184" spans="3:3" x14ac:dyDescent="0.3">
      <c r="C184" t="s">
        <v>270</v>
      </c>
    </row>
    <row r="185" spans="3:3" x14ac:dyDescent="0.3">
      <c r="C185" t="s">
        <v>271</v>
      </c>
    </row>
    <row r="186" spans="3:3" x14ac:dyDescent="0.3">
      <c r="C186" t="s">
        <v>272</v>
      </c>
    </row>
    <row r="187" spans="3:3" x14ac:dyDescent="0.3">
      <c r="C187" t="s">
        <v>273</v>
      </c>
    </row>
    <row r="188" spans="3:3" x14ac:dyDescent="0.3">
      <c r="C188" t="s">
        <v>274</v>
      </c>
    </row>
    <row r="189" spans="3:3" x14ac:dyDescent="0.3">
      <c r="C189" t="s">
        <v>275</v>
      </c>
    </row>
    <row r="190" spans="3:3" x14ac:dyDescent="0.3">
      <c r="C190" t="s">
        <v>276</v>
      </c>
    </row>
    <row r="191" spans="3:3" x14ac:dyDescent="0.3">
      <c r="C191" t="s">
        <v>277</v>
      </c>
    </row>
    <row r="192" spans="3:3" x14ac:dyDescent="0.3">
      <c r="C192" t="s">
        <v>278</v>
      </c>
    </row>
    <row r="193" spans="3:3" x14ac:dyDescent="0.3">
      <c r="C193" t="s">
        <v>279</v>
      </c>
    </row>
    <row r="194" spans="3:3" x14ac:dyDescent="0.3">
      <c r="C194" t="s">
        <v>280</v>
      </c>
    </row>
    <row r="195" spans="3:3" x14ac:dyDescent="0.3">
      <c r="C195" t="s">
        <v>281</v>
      </c>
    </row>
    <row r="196" spans="3:3" x14ac:dyDescent="0.3">
      <c r="C196" t="s">
        <v>282</v>
      </c>
    </row>
    <row r="197" spans="3:3" x14ac:dyDescent="0.3">
      <c r="C197" t="s">
        <v>283</v>
      </c>
    </row>
    <row r="198" spans="3:3" x14ac:dyDescent="0.3">
      <c r="C198" t="s">
        <v>284</v>
      </c>
    </row>
    <row r="199" spans="3:3" x14ac:dyDescent="0.3">
      <c r="C199" t="s">
        <v>285</v>
      </c>
    </row>
    <row r="200" spans="3:3" x14ac:dyDescent="0.3">
      <c r="C200" t="s">
        <v>286</v>
      </c>
    </row>
    <row r="201" spans="3:3" x14ac:dyDescent="0.3">
      <c r="C201" t="s">
        <v>287</v>
      </c>
    </row>
    <row r="202" spans="3:3" x14ac:dyDescent="0.3">
      <c r="C202" t="s">
        <v>288</v>
      </c>
    </row>
    <row r="203" spans="3:3" x14ac:dyDescent="0.3">
      <c r="C203" t="s">
        <v>289</v>
      </c>
    </row>
    <row r="204" spans="3:3" x14ac:dyDescent="0.3">
      <c r="C204" t="s">
        <v>290</v>
      </c>
    </row>
    <row r="205" spans="3:3" x14ac:dyDescent="0.3">
      <c r="C205" t="s">
        <v>291</v>
      </c>
    </row>
    <row r="206" spans="3:3" x14ac:dyDescent="0.3">
      <c r="C206" t="s">
        <v>292</v>
      </c>
    </row>
    <row r="207" spans="3:3" x14ac:dyDescent="0.3">
      <c r="C207" t="s">
        <v>293</v>
      </c>
    </row>
    <row r="208" spans="3:3" x14ac:dyDescent="0.3">
      <c r="C208" t="s">
        <v>294</v>
      </c>
    </row>
    <row r="209" spans="3:3" x14ac:dyDescent="0.3">
      <c r="C209" t="s">
        <v>295</v>
      </c>
    </row>
    <row r="210" spans="3:3" x14ac:dyDescent="0.3">
      <c r="C210" t="s">
        <v>296</v>
      </c>
    </row>
    <row r="211" spans="3:3" x14ac:dyDescent="0.3">
      <c r="C211" t="s">
        <v>297</v>
      </c>
    </row>
    <row r="212" spans="3:3" x14ac:dyDescent="0.3">
      <c r="C212" t="s">
        <v>298</v>
      </c>
    </row>
    <row r="213" spans="3:3" x14ac:dyDescent="0.3">
      <c r="C213" t="s">
        <v>299</v>
      </c>
    </row>
    <row r="214" spans="3:3" x14ac:dyDescent="0.3">
      <c r="C214" t="s">
        <v>300</v>
      </c>
    </row>
    <row r="215" spans="3:3" x14ac:dyDescent="0.3">
      <c r="C215" t="s">
        <v>301</v>
      </c>
    </row>
    <row r="216" spans="3:3" x14ac:dyDescent="0.3">
      <c r="C216" t="s">
        <v>302</v>
      </c>
    </row>
    <row r="217" spans="3:3" x14ac:dyDescent="0.3">
      <c r="C217" t="s">
        <v>303</v>
      </c>
    </row>
    <row r="218" spans="3:3" x14ac:dyDescent="0.3">
      <c r="C218" t="s">
        <v>304</v>
      </c>
    </row>
    <row r="219" spans="3:3" x14ac:dyDescent="0.3">
      <c r="C219" t="s">
        <v>305</v>
      </c>
    </row>
    <row r="220" spans="3:3" x14ac:dyDescent="0.3">
      <c r="C220" t="s">
        <v>306</v>
      </c>
    </row>
    <row r="221" spans="3:3" x14ac:dyDescent="0.3">
      <c r="C221" t="s">
        <v>307</v>
      </c>
    </row>
    <row r="222" spans="3:3" x14ac:dyDescent="0.3">
      <c r="C222" t="s">
        <v>308</v>
      </c>
    </row>
    <row r="223" spans="3:3" x14ac:dyDescent="0.3">
      <c r="C223" t="s">
        <v>309</v>
      </c>
    </row>
    <row r="224" spans="3:3" x14ac:dyDescent="0.3">
      <c r="C224" t="s">
        <v>310</v>
      </c>
    </row>
    <row r="225" spans="3:3" x14ac:dyDescent="0.3">
      <c r="C225" t="s">
        <v>311</v>
      </c>
    </row>
    <row r="226" spans="3:3" x14ac:dyDescent="0.3">
      <c r="C226" t="s">
        <v>312</v>
      </c>
    </row>
    <row r="227" spans="3:3" x14ac:dyDescent="0.3">
      <c r="C227" t="s">
        <v>313</v>
      </c>
    </row>
    <row r="228" spans="3:3" x14ac:dyDescent="0.3">
      <c r="C228" t="s">
        <v>314</v>
      </c>
    </row>
    <row r="229" spans="3:3" x14ac:dyDescent="0.3">
      <c r="C229" t="s">
        <v>315</v>
      </c>
    </row>
    <row r="230" spans="3:3" x14ac:dyDescent="0.3">
      <c r="C230" t="s">
        <v>316</v>
      </c>
    </row>
    <row r="231" spans="3:3" x14ac:dyDescent="0.3">
      <c r="C231" t="s">
        <v>317</v>
      </c>
    </row>
    <row r="232" spans="3:3" x14ac:dyDescent="0.3">
      <c r="C232" t="s">
        <v>318</v>
      </c>
    </row>
    <row r="233" spans="3:3" x14ac:dyDescent="0.3">
      <c r="C233" t="s">
        <v>319</v>
      </c>
    </row>
    <row r="234" spans="3:3" x14ac:dyDescent="0.3">
      <c r="C234" t="s">
        <v>320</v>
      </c>
    </row>
    <row r="235" spans="3:3" x14ac:dyDescent="0.3">
      <c r="C235" t="s">
        <v>321</v>
      </c>
    </row>
    <row r="236" spans="3:3" x14ac:dyDescent="0.3">
      <c r="C236" t="s">
        <v>322</v>
      </c>
    </row>
    <row r="237" spans="3:3" x14ac:dyDescent="0.3">
      <c r="C237" t="s">
        <v>323</v>
      </c>
    </row>
    <row r="238" spans="3:3" x14ac:dyDescent="0.3">
      <c r="C238" t="s">
        <v>324</v>
      </c>
    </row>
    <row r="239" spans="3:3" x14ac:dyDescent="0.3">
      <c r="C239" t="s">
        <v>325</v>
      </c>
    </row>
    <row r="240" spans="3:3" x14ac:dyDescent="0.3">
      <c r="C240" t="s">
        <v>326</v>
      </c>
    </row>
    <row r="241" spans="3:3" x14ac:dyDescent="0.3">
      <c r="C241" t="s">
        <v>327</v>
      </c>
    </row>
    <row r="242" spans="3:3" x14ac:dyDescent="0.3">
      <c r="C242" t="s">
        <v>328</v>
      </c>
    </row>
    <row r="243" spans="3:3" x14ac:dyDescent="0.3">
      <c r="C243" t="s">
        <v>329</v>
      </c>
    </row>
    <row r="244" spans="3:3" x14ac:dyDescent="0.3">
      <c r="C244" t="s">
        <v>330</v>
      </c>
    </row>
    <row r="245" spans="3:3" x14ac:dyDescent="0.3">
      <c r="C245" t="s">
        <v>331</v>
      </c>
    </row>
    <row r="246" spans="3:3" x14ac:dyDescent="0.3">
      <c r="C246" t="s">
        <v>332</v>
      </c>
    </row>
    <row r="247" spans="3:3" x14ac:dyDescent="0.3">
      <c r="C247" t="s">
        <v>333</v>
      </c>
    </row>
    <row r="248" spans="3:3" x14ac:dyDescent="0.3">
      <c r="C248" t="s">
        <v>334</v>
      </c>
    </row>
    <row r="249" spans="3:3" x14ac:dyDescent="0.3">
      <c r="C249" t="s">
        <v>335</v>
      </c>
    </row>
    <row r="250" spans="3:3" x14ac:dyDescent="0.3">
      <c r="C250" t="s">
        <v>336</v>
      </c>
    </row>
    <row r="251" spans="3:3" x14ac:dyDescent="0.3">
      <c r="C251" t="s">
        <v>337</v>
      </c>
    </row>
    <row r="252" spans="3:3" x14ac:dyDescent="0.3">
      <c r="C252" t="s">
        <v>338</v>
      </c>
    </row>
    <row r="253" spans="3:3" x14ac:dyDescent="0.3">
      <c r="C253" t="s">
        <v>339</v>
      </c>
    </row>
    <row r="254" spans="3:3" x14ac:dyDescent="0.3">
      <c r="C254" t="s">
        <v>340</v>
      </c>
    </row>
    <row r="255" spans="3:3" x14ac:dyDescent="0.3">
      <c r="C255" t="s">
        <v>341</v>
      </c>
    </row>
    <row r="256" spans="3:3" x14ac:dyDescent="0.3">
      <c r="C256" t="s">
        <v>342</v>
      </c>
    </row>
    <row r="257" spans="3:3" x14ac:dyDescent="0.3">
      <c r="C257" t="s">
        <v>343</v>
      </c>
    </row>
    <row r="258" spans="3:3" x14ac:dyDescent="0.3">
      <c r="C258" t="s">
        <v>344</v>
      </c>
    </row>
    <row r="259" spans="3:3" x14ac:dyDescent="0.3">
      <c r="C259" t="s">
        <v>345</v>
      </c>
    </row>
    <row r="260" spans="3:3" x14ac:dyDescent="0.3">
      <c r="C260" t="s">
        <v>346</v>
      </c>
    </row>
    <row r="261" spans="3:3" x14ac:dyDescent="0.3">
      <c r="C261" t="s">
        <v>347</v>
      </c>
    </row>
    <row r="262" spans="3:3" x14ac:dyDescent="0.3">
      <c r="C262" t="s">
        <v>348</v>
      </c>
    </row>
    <row r="263" spans="3:3" x14ac:dyDescent="0.3">
      <c r="C263" t="s">
        <v>349</v>
      </c>
    </row>
    <row r="264" spans="3:3" x14ac:dyDescent="0.3">
      <c r="C264" t="s">
        <v>350</v>
      </c>
    </row>
    <row r="265" spans="3:3" x14ac:dyDescent="0.3">
      <c r="C265" t="s">
        <v>351</v>
      </c>
    </row>
    <row r="266" spans="3:3" x14ac:dyDescent="0.3">
      <c r="C266" t="s">
        <v>352</v>
      </c>
    </row>
    <row r="267" spans="3:3" x14ac:dyDescent="0.3">
      <c r="C267" t="s">
        <v>353</v>
      </c>
    </row>
    <row r="268" spans="3:3" x14ac:dyDescent="0.3">
      <c r="C268" t="s">
        <v>354</v>
      </c>
    </row>
    <row r="269" spans="3:3" x14ac:dyDescent="0.3">
      <c r="C269" t="s">
        <v>355</v>
      </c>
    </row>
    <row r="270" spans="3:3" x14ac:dyDescent="0.3">
      <c r="C270" t="s">
        <v>356</v>
      </c>
    </row>
    <row r="271" spans="3:3" x14ac:dyDescent="0.3">
      <c r="C271" t="s">
        <v>357</v>
      </c>
    </row>
    <row r="272" spans="3:3" x14ac:dyDescent="0.3">
      <c r="C272" t="s">
        <v>358</v>
      </c>
    </row>
    <row r="273" spans="3:3" x14ac:dyDescent="0.3">
      <c r="C273" t="s">
        <v>359</v>
      </c>
    </row>
    <row r="274" spans="3:3" x14ac:dyDescent="0.3">
      <c r="C274" t="s">
        <v>360</v>
      </c>
    </row>
    <row r="275" spans="3:3" x14ac:dyDescent="0.3">
      <c r="C275" t="s">
        <v>361</v>
      </c>
    </row>
    <row r="276" spans="3:3" x14ac:dyDescent="0.3">
      <c r="C276" t="s">
        <v>362</v>
      </c>
    </row>
    <row r="277" spans="3:3" x14ac:dyDescent="0.3">
      <c r="C277" t="s">
        <v>363</v>
      </c>
    </row>
    <row r="278" spans="3:3" x14ac:dyDescent="0.3">
      <c r="C278" t="s">
        <v>364</v>
      </c>
    </row>
    <row r="279" spans="3:3" x14ac:dyDescent="0.3">
      <c r="C279" t="s">
        <v>365</v>
      </c>
    </row>
    <row r="280" spans="3:3" x14ac:dyDescent="0.3">
      <c r="C280" t="s">
        <v>366</v>
      </c>
    </row>
    <row r="281" spans="3:3" x14ac:dyDescent="0.3">
      <c r="C281" t="s">
        <v>367</v>
      </c>
    </row>
    <row r="282" spans="3:3" x14ac:dyDescent="0.3">
      <c r="C282" t="s">
        <v>368</v>
      </c>
    </row>
    <row r="283" spans="3:3" x14ac:dyDescent="0.3">
      <c r="C283" t="s">
        <v>369</v>
      </c>
    </row>
    <row r="284" spans="3:3" x14ac:dyDescent="0.3">
      <c r="C284" t="s">
        <v>370</v>
      </c>
    </row>
    <row r="285" spans="3:3" x14ac:dyDescent="0.3">
      <c r="C285" t="s">
        <v>371</v>
      </c>
    </row>
    <row r="286" spans="3:3" x14ac:dyDescent="0.3">
      <c r="C286" t="s">
        <v>372</v>
      </c>
    </row>
    <row r="287" spans="3:3" x14ac:dyDescent="0.3">
      <c r="C287" t="s">
        <v>373</v>
      </c>
    </row>
    <row r="288" spans="3:3" x14ac:dyDescent="0.3">
      <c r="C288" t="s">
        <v>374</v>
      </c>
    </row>
    <row r="289" spans="3:3" x14ac:dyDescent="0.3">
      <c r="C289" t="s">
        <v>375</v>
      </c>
    </row>
    <row r="290" spans="3:3" x14ac:dyDescent="0.3">
      <c r="C290" t="s">
        <v>376</v>
      </c>
    </row>
    <row r="291" spans="3:3" x14ac:dyDescent="0.3">
      <c r="C291" t="s">
        <v>377</v>
      </c>
    </row>
    <row r="292" spans="3:3" x14ac:dyDescent="0.3">
      <c r="C292" t="s">
        <v>378</v>
      </c>
    </row>
    <row r="293" spans="3:3" x14ac:dyDescent="0.3">
      <c r="C293" t="s">
        <v>379</v>
      </c>
    </row>
    <row r="294" spans="3:3" x14ac:dyDescent="0.3">
      <c r="C294" t="s">
        <v>380</v>
      </c>
    </row>
    <row r="295" spans="3:3" x14ac:dyDescent="0.3">
      <c r="C295" t="s">
        <v>381</v>
      </c>
    </row>
    <row r="296" spans="3:3" x14ac:dyDescent="0.3">
      <c r="C296" t="s">
        <v>382</v>
      </c>
    </row>
    <row r="297" spans="3:3" x14ac:dyDescent="0.3">
      <c r="C297" t="s">
        <v>383</v>
      </c>
    </row>
    <row r="298" spans="3:3" x14ac:dyDescent="0.3">
      <c r="C298" t="s">
        <v>384</v>
      </c>
    </row>
    <row r="299" spans="3:3" x14ac:dyDescent="0.3">
      <c r="C299" t="s">
        <v>385</v>
      </c>
    </row>
    <row r="300" spans="3:3" x14ac:dyDescent="0.3">
      <c r="C300" t="s">
        <v>386</v>
      </c>
    </row>
    <row r="301" spans="3:3" x14ac:dyDescent="0.3">
      <c r="C301" t="s">
        <v>387</v>
      </c>
    </row>
    <row r="302" spans="3:3" x14ac:dyDescent="0.3">
      <c r="C302" t="s">
        <v>388</v>
      </c>
    </row>
    <row r="303" spans="3:3" x14ac:dyDescent="0.3">
      <c r="C303" t="s">
        <v>389</v>
      </c>
    </row>
    <row r="304" spans="3:3" x14ac:dyDescent="0.3">
      <c r="C304" t="s">
        <v>390</v>
      </c>
    </row>
    <row r="305" spans="3:3" x14ac:dyDescent="0.3">
      <c r="C305" t="s">
        <v>391</v>
      </c>
    </row>
    <row r="306" spans="3:3" x14ac:dyDescent="0.3">
      <c r="C306" t="s">
        <v>392</v>
      </c>
    </row>
    <row r="307" spans="3:3" x14ac:dyDescent="0.3">
      <c r="C307" t="s">
        <v>393</v>
      </c>
    </row>
    <row r="308" spans="3:3" x14ac:dyDescent="0.3">
      <c r="C308" t="s">
        <v>394</v>
      </c>
    </row>
    <row r="309" spans="3:3" x14ac:dyDescent="0.3">
      <c r="C309" t="s">
        <v>395</v>
      </c>
    </row>
    <row r="310" spans="3:3" x14ac:dyDescent="0.3">
      <c r="C310" t="s">
        <v>396</v>
      </c>
    </row>
    <row r="311" spans="3:3" x14ac:dyDescent="0.3">
      <c r="C311" t="s">
        <v>397</v>
      </c>
    </row>
    <row r="312" spans="3:3" x14ac:dyDescent="0.3">
      <c r="C312" t="s">
        <v>398</v>
      </c>
    </row>
    <row r="313" spans="3:3" x14ac:dyDescent="0.3">
      <c r="C313" t="s">
        <v>399</v>
      </c>
    </row>
    <row r="314" spans="3:3" x14ac:dyDescent="0.3">
      <c r="C314" t="s">
        <v>400</v>
      </c>
    </row>
    <row r="315" spans="3:3" x14ac:dyDescent="0.3">
      <c r="C315" t="s">
        <v>401</v>
      </c>
    </row>
    <row r="316" spans="3:3" x14ac:dyDescent="0.3">
      <c r="C316" t="s">
        <v>402</v>
      </c>
    </row>
    <row r="317" spans="3:3" x14ac:dyDescent="0.3">
      <c r="C317" t="s">
        <v>403</v>
      </c>
    </row>
    <row r="318" spans="3:3" x14ac:dyDescent="0.3">
      <c r="C318" t="s">
        <v>404</v>
      </c>
    </row>
    <row r="319" spans="3:3" x14ac:dyDescent="0.3">
      <c r="C319" t="s">
        <v>405</v>
      </c>
    </row>
    <row r="320" spans="3:3" x14ac:dyDescent="0.3">
      <c r="C320" t="s">
        <v>406</v>
      </c>
    </row>
    <row r="321" spans="3:3" x14ac:dyDescent="0.3">
      <c r="C321" t="s">
        <v>407</v>
      </c>
    </row>
    <row r="322" spans="3:3" x14ac:dyDescent="0.3">
      <c r="C322" t="s">
        <v>408</v>
      </c>
    </row>
    <row r="323" spans="3:3" x14ac:dyDescent="0.3">
      <c r="C323" t="s">
        <v>409</v>
      </c>
    </row>
    <row r="324" spans="3:3" x14ac:dyDescent="0.3">
      <c r="C324" t="s">
        <v>410</v>
      </c>
    </row>
    <row r="325" spans="3:3" x14ac:dyDescent="0.3">
      <c r="C325" t="s">
        <v>411</v>
      </c>
    </row>
    <row r="326" spans="3:3" x14ac:dyDescent="0.3">
      <c r="C326" t="s">
        <v>412</v>
      </c>
    </row>
    <row r="327" spans="3:3" x14ac:dyDescent="0.3">
      <c r="C327" t="s">
        <v>413</v>
      </c>
    </row>
    <row r="328" spans="3:3" x14ac:dyDescent="0.3">
      <c r="C328" t="s">
        <v>414</v>
      </c>
    </row>
    <row r="329" spans="3:3" x14ac:dyDescent="0.3">
      <c r="C329" t="s">
        <v>415</v>
      </c>
    </row>
    <row r="330" spans="3:3" x14ac:dyDescent="0.3">
      <c r="C330" t="s">
        <v>416</v>
      </c>
    </row>
    <row r="331" spans="3:3" x14ac:dyDescent="0.3">
      <c r="C331" t="s">
        <v>417</v>
      </c>
    </row>
    <row r="332" spans="3:3" x14ac:dyDescent="0.3">
      <c r="C332" t="s">
        <v>418</v>
      </c>
    </row>
    <row r="333" spans="3:3" x14ac:dyDescent="0.3">
      <c r="C333" t="s">
        <v>419</v>
      </c>
    </row>
    <row r="334" spans="3:3" x14ac:dyDescent="0.3">
      <c r="C334" t="s">
        <v>420</v>
      </c>
    </row>
    <row r="335" spans="3:3" x14ac:dyDescent="0.3">
      <c r="C335" t="s">
        <v>421</v>
      </c>
    </row>
    <row r="336" spans="3:3" x14ac:dyDescent="0.3">
      <c r="C336" t="s">
        <v>422</v>
      </c>
    </row>
    <row r="337" spans="3:3" x14ac:dyDescent="0.3">
      <c r="C337" t="s">
        <v>423</v>
      </c>
    </row>
    <row r="338" spans="3:3" x14ac:dyDescent="0.3">
      <c r="C338" t="s">
        <v>424</v>
      </c>
    </row>
    <row r="339" spans="3:3" x14ac:dyDescent="0.3">
      <c r="C339" t="s">
        <v>425</v>
      </c>
    </row>
    <row r="340" spans="3:3" x14ac:dyDescent="0.3">
      <c r="C340" t="s">
        <v>426</v>
      </c>
    </row>
    <row r="341" spans="3:3" x14ac:dyDescent="0.3">
      <c r="C341" t="s">
        <v>427</v>
      </c>
    </row>
    <row r="342" spans="3:3" x14ac:dyDescent="0.3">
      <c r="C342" t="s">
        <v>428</v>
      </c>
    </row>
    <row r="343" spans="3:3" x14ac:dyDescent="0.3">
      <c r="C343" t="s">
        <v>429</v>
      </c>
    </row>
    <row r="344" spans="3:3" x14ac:dyDescent="0.3">
      <c r="C344" t="s">
        <v>430</v>
      </c>
    </row>
    <row r="345" spans="3:3" x14ac:dyDescent="0.3">
      <c r="C345" t="s">
        <v>431</v>
      </c>
    </row>
    <row r="346" spans="3:3" x14ac:dyDescent="0.3">
      <c r="C346" t="s">
        <v>432</v>
      </c>
    </row>
    <row r="347" spans="3:3" x14ac:dyDescent="0.3">
      <c r="C347" t="s">
        <v>433</v>
      </c>
    </row>
    <row r="348" spans="3:3" x14ac:dyDescent="0.3">
      <c r="C348" t="s">
        <v>434</v>
      </c>
    </row>
    <row r="349" spans="3:3" x14ac:dyDescent="0.3">
      <c r="C349" t="s">
        <v>435</v>
      </c>
    </row>
    <row r="350" spans="3:3" x14ac:dyDescent="0.3">
      <c r="C350" t="s">
        <v>436</v>
      </c>
    </row>
    <row r="351" spans="3:3" x14ac:dyDescent="0.3">
      <c r="C351" t="s">
        <v>437</v>
      </c>
    </row>
    <row r="352" spans="3:3" x14ac:dyDescent="0.3">
      <c r="C352" t="s">
        <v>438</v>
      </c>
    </row>
    <row r="353" spans="3:3" x14ac:dyDescent="0.3">
      <c r="C353" t="s">
        <v>439</v>
      </c>
    </row>
    <row r="354" spans="3:3" x14ac:dyDescent="0.3">
      <c r="C354" t="s">
        <v>440</v>
      </c>
    </row>
    <row r="355" spans="3:3" x14ac:dyDescent="0.3">
      <c r="C355" t="s">
        <v>441</v>
      </c>
    </row>
    <row r="356" spans="3:3" x14ac:dyDescent="0.3">
      <c r="C356" t="s">
        <v>442</v>
      </c>
    </row>
    <row r="357" spans="3:3" x14ac:dyDescent="0.3">
      <c r="C357" t="s">
        <v>443</v>
      </c>
    </row>
    <row r="358" spans="3:3" x14ac:dyDescent="0.3">
      <c r="C358" t="s">
        <v>444</v>
      </c>
    </row>
    <row r="359" spans="3:3" x14ac:dyDescent="0.3">
      <c r="C359" t="s">
        <v>445</v>
      </c>
    </row>
    <row r="360" spans="3:3" x14ac:dyDescent="0.3">
      <c r="C360" t="s">
        <v>446</v>
      </c>
    </row>
    <row r="361" spans="3:3" x14ac:dyDescent="0.3">
      <c r="C361" t="s">
        <v>447</v>
      </c>
    </row>
    <row r="362" spans="3:3" x14ac:dyDescent="0.3">
      <c r="C362" t="s">
        <v>448</v>
      </c>
    </row>
    <row r="363" spans="3:3" x14ac:dyDescent="0.3">
      <c r="C363" t="s">
        <v>449</v>
      </c>
    </row>
    <row r="364" spans="3:3" x14ac:dyDescent="0.3">
      <c r="C364" t="s">
        <v>450</v>
      </c>
    </row>
    <row r="365" spans="3:3" x14ac:dyDescent="0.3">
      <c r="C365" t="s">
        <v>451</v>
      </c>
    </row>
    <row r="366" spans="3:3" x14ac:dyDescent="0.3">
      <c r="C366" t="s">
        <v>452</v>
      </c>
    </row>
    <row r="367" spans="3:3" x14ac:dyDescent="0.3">
      <c r="C367" t="s">
        <v>453</v>
      </c>
    </row>
    <row r="368" spans="3:3" x14ac:dyDescent="0.3">
      <c r="C368" t="s">
        <v>454</v>
      </c>
    </row>
    <row r="369" spans="3:3" x14ac:dyDescent="0.3">
      <c r="C369" t="s">
        <v>455</v>
      </c>
    </row>
    <row r="370" spans="3:3" x14ac:dyDescent="0.3">
      <c r="C370" t="s">
        <v>456</v>
      </c>
    </row>
    <row r="371" spans="3:3" x14ac:dyDescent="0.3">
      <c r="C371" t="s">
        <v>457</v>
      </c>
    </row>
    <row r="372" spans="3:3" x14ac:dyDescent="0.3">
      <c r="C372" t="s">
        <v>458</v>
      </c>
    </row>
    <row r="373" spans="3:3" x14ac:dyDescent="0.3">
      <c r="C373" t="s">
        <v>459</v>
      </c>
    </row>
    <row r="374" spans="3:3" x14ac:dyDescent="0.3">
      <c r="C374" t="s">
        <v>460</v>
      </c>
    </row>
    <row r="375" spans="3:3" x14ac:dyDescent="0.3">
      <c r="C375" t="s">
        <v>461</v>
      </c>
    </row>
    <row r="376" spans="3:3" x14ac:dyDescent="0.3">
      <c r="C376" t="s">
        <v>462</v>
      </c>
    </row>
    <row r="377" spans="3:3" x14ac:dyDescent="0.3">
      <c r="C377" t="s">
        <v>463</v>
      </c>
    </row>
    <row r="378" spans="3:3" x14ac:dyDescent="0.3">
      <c r="C378" t="s">
        <v>464</v>
      </c>
    </row>
    <row r="379" spans="3:3" x14ac:dyDescent="0.3">
      <c r="C379" t="s">
        <v>465</v>
      </c>
    </row>
    <row r="380" spans="3:3" x14ac:dyDescent="0.3">
      <c r="C380">
        <v>2</v>
      </c>
    </row>
    <row r="381" spans="3:3" x14ac:dyDescent="0.3">
      <c r="C381" t="s">
        <v>466</v>
      </c>
    </row>
    <row r="382" spans="3:3" x14ac:dyDescent="0.3">
      <c r="C382">
        <v>3</v>
      </c>
    </row>
    <row r="383" spans="3:3" x14ac:dyDescent="0.3">
      <c r="C383">
        <v>4</v>
      </c>
    </row>
    <row r="384" spans="3:3" x14ac:dyDescent="0.3">
      <c r="C384" t="s">
        <v>467</v>
      </c>
    </row>
    <row r="385" spans="3:3" x14ac:dyDescent="0.3">
      <c r="C385">
        <v>5</v>
      </c>
    </row>
    <row r="386" spans="3:3" x14ac:dyDescent="0.3">
      <c r="C386">
        <v>6</v>
      </c>
    </row>
    <row r="387" spans="3:3" x14ac:dyDescent="0.3">
      <c r="C387" t="s">
        <v>468</v>
      </c>
    </row>
    <row r="388" spans="3:3" x14ac:dyDescent="0.3">
      <c r="C388">
        <v>-2</v>
      </c>
    </row>
    <row r="389" spans="3:3" x14ac:dyDescent="0.3">
      <c r="C389" t="s">
        <v>469</v>
      </c>
    </row>
    <row r="390" spans="3:3" x14ac:dyDescent="0.3">
      <c r="C390" t="s">
        <v>470</v>
      </c>
    </row>
    <row r="391" spans="3:3" x14ac:dyDescent="0.3">
      <c r="C391">
        <v>-1</v>
      </c>
    </row>
    <row r="392" spans="3:3" x14ac:dyDescent="0.3">
      <c r="C392" t="s">
        <v>471</v>
      </c>
    </row>
    <row r="393" spans="3:3" x14ac:dyDescent="0.3">
      <c r="C393">
        <v>1</v>
      </c>
    </row>
    <row r="394" spans="3:3" x14ac:dyDescent="0.3">
      <c r="C394" t="s">
        <v>472</v>
      </c>
    </row>
    <row r="395" spans="3:3" x14ac:dyDescent="0.3">
      <c r="C395" t="s">
        <v>473</v>
      </c>
    </row>
    <row r="396" spans="3:3" x14ac:dyDescent="0.3">
      <c r="C396" t="s">
        <v>474</v>
      </c>
    </row>
    <row r="397" spans="3:3" x14ac:dyDescent="0.3">
      <c r="C397" t="s">
        <v>475</v>
      </c>
    </row>
    <row r="398" spans="3:3" x14ac:dyDescent="0.3">
      <c r="C398" t="s">
        <v>476</v>
      </c>
    </row>
    <row r="399" spans="3:3" x14ac:dyDescent="0.3">
      <c r="C399" t="s">
        <v>477</v>
      </c>
    </row>
    <row r="400" spans="3:3" x14ac:dyDescent="0.3">
      <c r="C400" t="s">
        <v>478</v>
      </c>
    </row>
    <row r="401" spans="3:3" x14ac:dyDescent="0.3">
      <c r="C401" t="s">
        <v>479</v>
      </c>
    </row>
    <row r="402" spans="3:3" x14ac:dyDescent="0.3">
      <c r="C402" t="s">
        <v>480</v>
      </c>
    </row>
    <row r="403" spans="3:3" x14ac:dyDescent="0.3">
      <c r="C403" t="s">
        <v>481</v>
      </c>
    </row>
    <row r="404" spans="3:3" x14ac:dyDescent="0.3">
      <c r="C404" t="s">
        <v>482</v>
      </c>
    </row>
    <row r="405" spans="3:3" x14ac:dyDescent="0.3">
      <c r="C405" t="s">
        <v>483</v>
      </c>
    </row>
    <row r="406" spans="3:3" x14ac:dyDescent="0.3">
      <c r="C406" t="s">
        <v>484</v>
      </c>
    </row>
    <row r="407" spans="3:3" x14ac:dyDescent="0.3">
      <c r="C407" t="s">
        <v>485</v>
      </c>
    </row>
  </sheetData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50"/>
  </sheetPr>
  <dimension ref="A1:D97"/>
  <sheetViews>
    <sheetView showGridLines="0" topLeftCell="B1" zoomScale="76" zoomScaleNormal="100" workbookViewId="0">
      <pane ySplit="1" topLeftCell="A2" activePane="bottomLeft" state="frozen"/>
      <selection pane="bottomLeft" activeCell="L11" sqref="L11"/>
    </sheetView>
  </sheetViews>
  <sheetFormatPr defaultColWidth="9.33203125" defaultRowHeight="14.4" x14ac:dyDescent="0.3"/>
  <cols>
    <col min="1" max="1" width="21.44140625" customWidth="1"/>
    <col min="2" max="2" width="12.77734375" style="112" customWidth="1"/>
    <col min="3" max="3" width="15.109375" style="111" customWidth="1"/>
    <col min="4" max="4" width="33.77734375" style="157" customWidth="1"/>
  </cols>
  <sheetData>
    <row r="1" spans="1:4" ht="28.95" customHeight="1" x14ac:dyDescent="0.3">
      <c r="A1" s="33" t="s">
        <v>11</v>
      </c>
      <c r="B1" s="125" t="s">
        <v>14</v>
      </c>
      <c r="C1" s="126" t="s">
        <v>12</v>
      </c>
      <c r="D1" s="157" t="s">
        <v>10</v>
      </c>
    </row>
    <row r="2" spans="1:4" x14ac:dyDescent="0.3">
      <c r="A2" s="136" t="s">
        <v>486</v>
      </c>
      <c r="B2" s="112" t="s">
        <v>487</v>
      </c>
      <c r="D2" t="s">
        <v>488</v>
      </c>
    </row>
    <row r="3" spans="1:4" x14ac:dyDescent="0.3">
      <c r="A3" s="136" t="s">
        <v>486</v>
      </c>
      <c r="B3" s="112" t="s">
        <v>487</v>
      </c>
      <c r="D3" t="s">
        <v>489</v>
      </c>
    </row>
    <row r="4" spans="1:4" x14ac:dyDescent="0.3">
      <c r="A4" s="136" t="s">
        <v>486</v>
      </c>
      <c r="B4" s="112" t="s">
        <v>487</v>
      </c>
      <c r="D4" t="s">
        <v>490</v>
      </c>
    </row>
    <row r="5" spans="1:4" x14ac:dyDescent="0.3">
      <c r="A5" s="136" t="s">
        <v>486</v>
      </c>
      <c r="B5" s="112" t="s">
        <v>487</v>
      </c>
      <c r="D5" t="s">
        <v>491</v>
      </c>
    </row>
    <row r="6" spans="1:4" x14ac:dyDescent="0.3">
      <c r="A6" s="136" t="s">
        <v>486</v>
      </c>
      <c r="B6" s="112" t="s">
        <v>487</v>
      </c>
      <c r="D6" t="s">
        <v>492</v>
      </c>
    </row>
    <row r="7" spans="1:4" x14ac:dyDescent="0.3">
      <c r="A7" s="136" t="s">
        <v>486</v>
      </c>
      <c r="B7" s="112" t="s">
        <v>487</v>
      </c>
      <c r="D7" t="s">
        <v>493</v>
      </c>
    </row>
    <row r="8" spans="1:4" x14ac:dyDescent="0.3">
      <c r="A8" s="136" t="s">
        <v>486</v>
      </c>
      <c r="B8" s="112" t="s">
        <v>487</v>
      </c>
      <c r="D8" t="s">
        <v>494</v>
      </c>
    </row>
    <row r="9" spans="1:4" x14ac:dyDescent="0.3">
      <c r="A9" s="136" t="s">
        <v>486</v>
      </c>
      <c r="B9" s="112" t="s">
        <v>487</v>
      </c>
      <c r="D9" t="s">
        <v>495</v>
      </c>
    </row>
    <row r="10" spans="1:4" x14ac:dyDescent="0.3">
      <c r="A10" s="136" t="s">
        <v>486</v>
      </c>
      <c r="B10" s="112" t="s">
        <v>487</v>
      </c>
      <c r="D10" t="s">
        <v>496</v>
      </c>
    </row>
    <row r="11" spans="1:4" x14ac:dyDescent="0.3">
      <c r="A11" s="136" t="s">
        <v>486</v>
      </c>
      <c r="B11" s="112" t="s">
        <v>487</v>
      </c>
      <c r="D11" t="s">
        <v>497</v>
      </c>
    </row>
    <row r="12" spans="1:4" x14ac:dyDescent="0.3">
      <c r="A12" s="136" t="s">
        <v>486</v>
      </c>
      <c r="B12" s="112" t="s">
        <v>487</v>
      </c>
      <c r="D12" t="s">
        <v>498</v>
      </c>
    </row>
    <row r="13" spans="1:4" x14ac:dyDescent="0.3">
      <c r="A13" s="136" t="s">
        <v>486</v>
      </c>
      <c r="B13" s="112" t="s">
        <v>487</v>
      </c>
      <c r="D13" t="s">
        <v>499</v>
      </c>
    </row>
    <row r="14" spans="1:4" x14ac:dyDescent="0.3">
      <c r="A14" s="136" t="s">
        <v>486</v>
      </c>
      <c r="B14" s="112" t="s">
        <v>487</v>
      </c>
      <c r="D14" t="s">
        <v>500</v>
      </c>
    </row>
    <row r="15" spans="1:4" x14ac:dyDescent="0.3">
      <c r="A15" s="136" t="s">
        <v>486</v>
      </c>
      <c r="B15" s="112" t="s">
        <v>487</v>
      </c>
      <c r="D15" t="s">
        <v>501</v>
      </c>
    </row>
    <row r="16" spans="1:4" x14ac:dyDescent="0.3">
      <c r="A16" s="136" t="s">
        <v>486</v>
      </c>
      <c r="B16" s="112" t="s">
        <v>487</v>
      </c>
      <c r="D16" t="s">
        <v>502</v>
      </c>
    </row>
    <row r="17" spans="1:4" x14ac:dyDescent="0.3">
      <c r="A17" s="136" t="s">
        <v>486</v>
      </c>
      <c r="B17" s="112" t="s">
        <v>487</v>
      </c>
      <c r="D17" t="s">
        <v>503</v>
      </c>
    </row>
    <row r="18" spans="1:4" x14ac:dyDescent="0.3">
      <c r="A18" s="136" t="s">
        <v>486</v>
      </c>
      <c r="B18" s="112" t="s">
        <v>487</v>
      </c>
      <c r="D18" t="s">
        <v>504</v>
      </c>
    </row>
    <row r="19" spans="1:4" x14ac:dyDescent="0.3">
      <c r="A19" s="136" t="s">
        <v>486</v>
      </c>
      <c r="B19" s="112" t="s">
        <v>487</v>
      </c>
      <c r="D19" t="s">
        <v>505</v>
      </c>
    </row>
    <row r="20" spans="1:4" x14ac:dyDescent="0.3">
      <c r="A20" s="136" t="s">
        <v>486</v>
      </c>
      <c r="B20" s="112" t="s">
        <v>487</v>
      </c>
      <c r="D20" t="s">
        <v>506</v>
      </c>
    </row>
    <row r="21" spans="1:4" x14ac:dyDescent="0.3">
      <c r="A21" s="136" t="s">
        <v>486</v>
      </c>
      <c r="B21" s="112" t="s">
        <v>487</v>
      </c>
      <c r="D21" t="s">
        <v>507</v>
      </c>
    </row>
    <row r="22" spans="1:4" x14ac:dyDescent="0.3">
      <c r="A22" s="136" t="s">
        <v>486</v>
      </c>
      <c r="B22" s="112" t="s">
        <v>487</v>
      </c>
      <c r="D22" t="s">
        <v>508</v>
      </c>
    </row>
    <row r="23" spans="1:4" x14ac:dyDescent="0.3">
      <c r="A23" s="136" t="s">
        <v>486</v>
      </c>
      <c r="B23" s="112" t="s">
        <v>487</v>
      </c>
      <c r="D23" t="s">
        <v>509</v>
      </c>
    </row>
    <row r="24" spans="1:4" x14ac:dyDescent="0.3">
      <c r="A24" s="136" t="s">
        <v>486</v>
      </c>
      <c r="B24" s="112" t="s">
        <v>487</v>
      </c>
      <c r="D24" t="s">
        <v>510</v>
      </c>
    </row>
    <row r="25" spans="1:4" x14ac:dyDescent="0.3">
      <c r="A25" s="136" t="s">
        <v>486</v>
      </c>
      <c r="B25" s="112" t="s">
        <v>487</v>
      </c>
      <c r="D25" t="s">
        <v>511</v>
      </c>
    </row>
    <row r="26" spans="1:4" x14ac:dyDescent="0.3">
      <c r="A26" s="136" t="s">
        <v>486</v>
      </c>
      <c r="B26" s="112" t="s">
        <v>487</v>
      </c>
      <c r="D26" t="s">
        <v>512</v>
      </c>
    </row>
    <row r="27" spans="1:4" x14ac:dyDescent="0.3">
      <c r="A27" s="136" t="s">
        <v>486</v>
      </c>
      <c r="B27" s="112" t="s">
        <v>487</v>
      </c>
      <c r="D27" t="s">
        <v>513</v>
      </c>
    </row>
    <row r="28" spans="1:4" x14ac:dyDescent="0.3">
      <c r="A28" s="136" t="s">
        <v>486</v>
      </c>
      <c r="B28" s="112" t="s">
        <v>487</v>
      </c>
      <c r="D28" t="s">
        <v>514</v>
      </c>
    </row>
    <row r="29" spans="1:4" x14ac:dyDescent="0.3">
      <c r="A29" s="136" t="s">
        <v>486</v>
      </c>
      <c r="B29" s="112" t="s">
        <v>487</v>
      </c>
      <c r="D29" t="s">
        <v>515</v>
      </c>
    </row>
    <row r="30" spans="1:4" x14ac:dyDescent="0.3">
      <c r="A30" s="136" t="s">
        <v>486</v>
      </c>
      <c r="B30" s="112" t="s">
        <v>487</v>
      </c>
      <c r="D30" t="s">
        <v>516</v>
      </c>
    </row>
    <row r="31" spans="1:4" x14ac:dyDescent="0.3">
      <c r="A31" s="136" t="s">
        <v>486</v>
      </c>
      <c r="B31" s="112" t="s">
        <v>487</v>
      </c>
      <c r="D31" t="s">
        <v>517</v>
      </c>
    </row>
    <row r="32" spans="1:4" x14ac:dyDescent="0.3">
      <c r="A32" s="136" t="s">
        <v>486</v>
      </c>
      <c r="B32" s="112" t="s">
        <v>487</v>
      </c>
      <c r="D32" t="s">
        <v>518</v>
      </c>
    </row>
    <row r="33" spans="1:4" x14ac:dyDescent="0.3">
      <c r="A33" s="136" t="s">
        <v>486</v>
      </c>
      <c r="B33" s="112" t="s">
        <v>487</v>
      </c>
      <c r="D33" t="s">
        <v>519</v>
      </c>
    </row>
    <row r="34" spans="1:4" x14ac:dyDescent="0.3">
      <c r="A34" s="136" t="s">
        <v>486</v>
      </c>
      <c r="B34" s="112" t="s">
        <v>487</v>
      </c>
      <c r="D34" t="s">
        <v>520</v>
      </c>
    </row>
    <row r="35" spans="1:4" x14ac:dyDescent="0.3">
      <c r="A35" s="136" t="s">
        <v>486</v>
      </c>
      <c r="B35" s="112" t="s">
        <v>487</v>
      </c>
      <c r="D35" t="s">
        <v>521</v>
      </c>
    </row>
    <row r="36" spans="1:4" x14ac:dyDescent="0.3">
      <c r="A36" s="136" t="s">
        <v>486</v>
      </c>
      <c r="B36" s="112" t="s">
        <v>487</v>
      </c>
      <c r="D36" t="s">
        <v>522</v>
      </c>
    </row>
    <row r="37" spans="1:4" x14ac:dyDescent="0.3">
      <c r="A37" s="136" t="s">
        <v>486</v>
      </c>
      <c r="B37" s="112" t="s">
        <v>487</v>
      </c>
      <c r="D37" t="s">
        <v>523</v>
      </c>
    </row>
    <row r="38" spans="1:4" x14ac:dyDescent="0.3">
      <c r="A38" s="136" t="s">
        <v>486</v>
      </c>
      <c r="B38" s="112" t="s">
        <v>487</v>
      </c>
      <c r="D38" t="s">
        <v>524</v>
      </c>
    </row>
    <row r="39" spans="1:4" x14ac:dyDescent="0.3">
      <c r="A39" s="136" t="s">
        <v>486</v>
      </c>
      <c r="B39" s="112" t="s">
        <v>487</v>
      </c>
      <c r="D39" t="s">
        <v>525</v>
      </c>
    </row>
    <row r="40" spans="1:4" x14ac:dyDescent="0.3">
      <c r="A40" s="136" t="s">
        <v>486</v>
      </c>
      <c r="B40" s="112" t="s">
        <v>487</v>
      </c>
      <c r="D40" t="s">
        <v>526</v>
      </c>
    </row>
    <row r="41" spans="1:4" x14ac:dyDescent="0.3">
      <c r="A41" s="136" t="s">
        <v>486</v>
      </c>
      <c r="B41" s="112" t="s">
        <v>487</v>
      </c>
      <c r="D41" t="s">
        <v>527</v>
      </c>
    </row>
    <row r="42" spans="1:4" x14ac:dyDescent="0.3">
      <c r="A42" s="136" t="s">
        <v>486</v>
      </c>
      <c r="B42" s="112" t="s">
        <v>487</v>
      </c>
      <c r="D42" t="s">
        <v>528</v>
      </c>
    </row>
    <row r="43" spans="1:4" x14ac:dyDescent="0.3">
      <c r="A43" s="136" t="s">
        <v>486</v>
      </c>
      <c r="B43" s="112" t="s">
        <v>487</v>
      </c>
      <c r="D43" t="s">
        <v>529</v>
      </c>
    </row>
    <row r="44" spans="1:4" x14ac:dyDescent="0.3">
      <c r="A44" s="136" t="s">
        <v>486</v>
      </c>
      <c r="B44" s="112" t="s">
        <v>487</v>
      </c>
      <c r="D44" t="s">
        <v>530</v>
      </c>
    </row>
    <row r="45" spans="1:4" x14ac:dyDescent="0.3">
      <c r="A45" s="136" t="s">
        <v>486</v>
      </c>
      <c r="B45" s="112" t="s">
        <v>487</v>
      </c>
      <c r="D45" t="s">
        <v>531</v>
      </c>
    </row>
    <row r="46" spans="1:4" x14ac:dyDescent="0.3">
      <c r="A46" s="136" t="s">
        <v>486</v>
      </c>
      <c r="B46" s="112" t="s">
        <v>487</v>
      </c>
      <c r="D46" t="s">
        <v>532</v>
      </c>
    </row>
    <row r="47" spans="1:4" x14ac:dyDescent="0.3">
      <c r="A47" s="136" t="s">
        <v>486</v>
      </c>
      <c r="B47" s="112" t="s">
        <v>487</v>
      </c>
      <c r="D47" t="s">
        <v>533</v>
      </c>
    </row>
    <row r="48" spans="1:4" x14ac:dyDescent="0.3">
      <c r="A48" s="136" t="s">
        <v>486</v>
      </c>
      <c r="B48" s="112" t="s">
        <v>487</v>
      </c>
      <c r="D48" t="s">
        <v>534</v>
      </c>
    </row>
    <row r="49" spans="1:4" x14ac:dyDescent="0.3">
      <c r="A49" s="136" t="s">
        <v>486</v>
      </c>
      <c r="B49" s="112" t="s">
        <v>487</v>
      </c>
      <c r="D49" t="s">
        <v>535</v>
      </c>
    </row>
    <row r="50" spans="1:4" x14ac:dyDescent="0.3">
      <c r="A50" s="136" t="s">
        <v>486</v>
      </c>
      <c r="B50" s="112" t="s">
        <v>487</v>
      </c>
      <c r="D50" t="s">
        <v>536</v>
      </c>
    </row>
    <row r="51" spans="1:4" x14ac:dyDescent="0.3">
      <c r="A51" s="136" t="s">
        <v>486</v>
      </c>
      <c r="B51" s="112" t="s">
        <v>487</v>
      </c>
      <c r="D51" t="s">
        <v>537</v>
      </c>
    </row>
    <row r="52" spans="1:4" x14ac:dyDescent="0.3">
      <c r="A52" s="136" t="s">
        <v>486</v>
      </c>
      <c r="B52" s="112" t="s">
        <v>487</v>
      </c>
      <c r="D52" t="s">
        <v>538</v>
      </c>
    </row>
    <row r="53" spans="1:4" x14ac:dyDescent="0.3">
      <c r="A53" s="136" t="s">
        <v>486</v>
      </c>
      <c r="B53" s="112" t="s">
        <v>487</v>
      </c>
      <c r="D53" t="s">
        <v>539</v>
      </c>
    </row>
    <row r="54" spans="1:4" x14ac:dyDescent="0.3">
      <c r="A54" s="136" t="s">
        <v>486</v>
      </c>
      <c r="B54" s="112" t="s">
        <v>487</v>
      </c>
      <c r="D54" t="s">
        <v>540</v>
      </c>
    </row>
    <row r="55" spans="1:4" x14ac:dyDescent="0.3">
      <c r="A55" s="136" t="s">
        <v>486</v>
      </c>
      <c r="B55" s="112" t="s">
        <v>487</v>
      </c>
      <c r="D55" t="s">
        <v>541</v>
      </c>
    </row>
    <row r="56" spans="1:4" x14ac:dyDescent="0.3">
      <c r="A56" s="136"/>
    </row>
    <row r="57" spans="1:4" x14ac:dyDescent="0.3">
      <c r="A57" s="136"/>
    </row>
    <row r="58" spans="1:4" x14ac:dyDescent="0.3">
      <c r="A58" s="136"/>
    </row>
    <row r="59" spans="1:4" x14ac:dyDescent="0.3">
      <c r="A59" s="136"/>
    </row>
    <row r="60" spans="1:4" x14ac:dyDescent="0.3">
      <c r="A60" s="136"/>
    </row>
    <row r="61" spans="1:4" x14ac:dyDescent="0.3">
      <c r="A61" s="136"/>
    </row>
    <row r="62" spans="1:4" x14ac:dyDescent="0.3">
      <c r="A62" s="136"/>
    </row>
    <row r="63" spans="1:4" x14ac:dyDescent="0.3">
      <c r="A63" s="136"/>
    </row>
    <row r="64" spans="1:4" x14ac:dyDescent="0.3">
      <c r="A64" s="136"/>
    </row>
    <row r="65" spans="1:1" x14ac:dyDescent="0.3">
      <c r="A65" s="136"/>
    </row>
    <row r="66" spans="1:1" x14ac:dyDescent="0.3">
      <c r="A66" s="136"/>
    </row>
    <row r="67" spans="1:1" x14ac:dyDescent="0.3">
      <c r="A67" s="136"/>
    </row>
    <row r="68" spans="1:1" x14ac:dyDescent="0.3">
      <c r="A68" s="136"/>
    </row>
    <row r="69" spans="1:1" x14ac:dyDescent="0.3">
      <c r="A69" s="136"/>
    </row>
    <row r="70" spans="1:1" x14ac:dyDescent="0.3">
      <c r="A70" s="136"/>
    </row>
    <row r="71" spans="1:1" x14ac:dyDescent="0.3">
      <c r="A71" s="136"/>
    </row>
    <row r="72" spans="1:1" x14ac:dyDescent="0.3">
      <c r="A72" s="136"/>
    </row>
    <row r="73" spans="1:1" x14ac:dyDescent="0.3">
      <c r="A73" s="136"/>
    </row>
    <row r="74" spans="1:1" x14ac:dyDescent="0.3">
      <c r="A74" s="136"/>
    </row>
    <row r="75" spans="1:1" x14ac:dyDescent="0.3">
      <c r="A75" s="136"/>
    </row>
    <row r="76" spans="1:1" x14ac:dyDescent="0.3">
      <c r="A76" s="136"/>
    </row>
    <row r="77" spans="1:1" x14ac:dyDescent="0.3">
      <c r="A77" s="136"/>
    </row>
    <row r="78" spans="1:1" x14ac:dyDescent="0.3">
      <c r="A78" s="136"/>
    </row>
    <row r="79" spans="1:1" x14ac:dyDescent="0.3">
      <c r="A79" s="136"/>
    </row>
    <row r="80" spans="1:1" x14ac:dyDescent="0.3">
      <c r="A80" s="136"/>
    </row>
    <row r="81" spans="1:1" x14ac:dyDescent="0.3">
      <c r="A81" s="136"/>
    </row>
    <row r="82" spans="1:1" x14ac:dyDescent="0.3">
      <c r="A82" s="136"/>
    </row>
    <row r="83" spans="1:1" x14ac:dyDescent="0.3">
      <c r="A83" s="136"/>
    </row>
    <row r="84" spans="1:1" x14ac:dyDescent="0.3">
      <c r="A84" s="136"/>
    </row>
    <row r="85" spans="1:1" x14ac:dyDescent="0.3">
      <c r="A85" s="136"/>
    </row>
    <row r="86" spans="1:1" x14ac:dyDescent="0.3">
      <c r="A86" s="136"/>
    </row>
    <row r="87" spans="1:1" x14ac:dyDescent="0.3">
      <c r="A87" s="136"/>
    </row>
    <row r="88" spans="1:1" x14ac:dyDescent="0.3">
      <c r="A88" s="136"/>
    </row>
    <row r="89" spans="1:1" x14ac:dyDescent="0.3">
      <c r="A89" s="136"/>
    </row>
    <row r="90" spans="1:1" x14ac:dyDescent="0.3">
      <c r="A90" s="136"/>
    </row>
    <row r="91" spans="1:1" x14ac:dyDescent="0.3">
      <c r="A91" s="136"/>
    </row>
    <row r="92" spans="1:1" x14ac:dyDescent="0.3">
      <c r="A92" s="136"/>
    </row>
    <row r="93" spans="1:1" x14ac:dyDescent="0.3">
      <c r="A93" s="136"/>
    </row>
    <row r="95" spans="1:1" x14ac:dyDescent="0.3">
      <c r="A95" s="136"/>
    </row>
    <row r="96" spans="1:1" x14ac:dyDescent="0.3">
      <c r="A96" s="136"/>
    </row>
    <row r="97" spans="1:1" x14ac:dyDescent="0.3">
      <c r="A97" s="136"/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7030A0"/>
  </sheetPr>
  <dimension ref="A1:M58"/>
  <sheetViews>
    <sheetView showGridLines="0" topLeftCell="E13" zoomScale="63" zoomScaleNormal="70" workbookViewId="0">
      <selection activeCell="F4" sqref="F4"/>
    </sheetView>
  </sheetViews>
  <sheetFormatPr defaultColWidth="8.5546875" defaultRowHeight="14.4" x14ac:dyDescent="0.3"/>
  <cols>
    <col min="1" max="1" width="0.33203125" hidden="1" customWidth="1"/>
    <col min="2" max="2" width="16.33203125" hidden="1" customWidth="1"/>
    <col min="3" max="3" width="13" hidden="1" customWidth="1"/>
    <col min="4" max="4" width="19.33203125" hidden="1" customWidth="1"/>
    <col min="5" max="5" width="32.33203125" style="23" customWidth="1"/>
    <col min="6" max="6" width="120" style="21" bestFit="1" customWidth="1"/>
    <col min="7" max="7" width="9.5546875" customWidth="1"/>
    <col min="8" max="8" width="44.5546875" customWidth="1"/>
    <col min="9" max="9" width="31.33203125" customWidth="1"/>
    <col min="10" max="10" width="52.88671875" customWidth="1"/>
    <col min="11" max="11" width="51.5546875" customWidth="1"/>
    <col min="12" max="12" width="8.5546875" customWidth="1"/>
  </cols>
  <sheetData>
    <row r="1" spans="1:13" ht="37.35" customHeight="1" x14ac:dyDescent="0.3">
      <c r="A1" s="33" t="s">
        <v>542</v>
      </c>
      <c r="B1" s="33" t="s">
        <v>11</v>
      </c>
      <c r="C1" s="20" t="s">
        <v>543</v>
      </c>
      <c r="D1" s="20" t="s">
        <v>544</v>
      </c>
      <c r="E1" s="33" t="s">
        <v>545</v>
      </c>
      <c r="F1" s="33" t="s">
        <v>546</v>
      </c>
      <c r="G1" s="33" t="s">
        <v>547</v>
      </c>
      <c r="H1" s="33" t="s">
        <v>548</v>
      </c>
      <c r="I1" t="e">
        <f t="array" aca="1" ref="I1" ca="1">OFFSET(INDIRECT($A1&amp;"!A1"),(MATCH($B1,INDIRECT($A1&amp;"!A:A"),0)+$D1)-2,IF($A1="Deck_lvl_db",2,MATCH(Report_Generator!$A$4,INDIRECT($A1&amp;"!1:1"),0)-1))</f>
        <v>#REF!</v>
      </c>
      <c r="M1" t="e">
        <f t="array" aca="1" ref="M1" ca="1">OFFSET(INDIRECT(A1&amp;"!A1"),(MATCH(#REF!,INDIRECT(A1&amp;"!A:A"),0)+#REF!)-2,IF(A1="Deck_lvl_db",2,MATCH(Report_Generator!$A$4,INDIRECT(A1&amp;"!1:1"),0)-1))</f>
        <v>#REF!</v>
      </c>
    </row>
    <row r="2" spans="1:13" x14ac:dyDescent="0.3">
      <c r="E2" s="31" t="s">
        <v>549</v>
      </c>
      <c r="F2" s="31" t="s">
        <v>9</v>
      </c>
      <c r="G2" s="31"/>
      <c r="H2" s="31"/>
    </row>
    <row r="3" spans="1:13" x14ac:dyDescent="0.3">
      <c r="E3" s="46" t="s">
        <v>550</v>
      </c>
      <c r="F3" s="59">
        <v>259</v>
      </c>
      <c r="G3" s="31"/>
      <c r="H3" s="31"/>
    </row>
    <row r="4" spans="1:13" x14ac:dyDescent="0.3">
      <c r="E4" s="31" t="s">
        <v>551</v>
      </c>
      <c r="F4" s="31" t="str">
        <f>IFERROR("Project_Drinks"&amp;Report_Generator!$A$7&amp;".pptx","output_file.pptx")</f>
        <v>Project_Drinks.pptx</v>
      </c>
      <c r="G4" s="31"/>
      <c r="H4" s="31"/>
    </row>
    <row r="5" spans="1:13" x14ac:dyDescent="0.3">
      <c r="A5" t="s">
        <v>552</v>
      </c>
      <c r="B5" t="s">
        <v>486</v>
      </c>
      <c r="C5" t="s">
        <v>553</v>
      </c>
      <c r="D5">
        <v>1</v>
      </c>
      <c r="E5" s="141" t="s">
        <v>554</v>
      </c>
      <c r="F5" t="str">
        <f t="array" aca="1" ref="F5" ca="1">OFFSET(INDIRECT($A5&amp;"!A1"),(MATCH($B5,INDIRECT($A5&amp;"!A:A"),0)+$D5)-2,IF($A5="Deck_lvl_db",2,MATCH(Report_Generator!$A$4,INDIRECT($A5&amp;"!1:1"),0)-1))</f>
        <v>6509e475d013746050533997</v>
      </c>
    </row>
    <row r="6" spans="1:13" x14ac:dyDescent="0.3">
      <c r="A6" t="s">
        <v>552</v>
      </c>
      <c r="B6" t="s">
        <v>486</v>
      </c>
      <c r="C6" t="s">
        <v>553</v>
      </c>
      <c r="D6">
        <v>2</v>
      </c>
      <c r="E6" s="44" t="s">
        <v>555</v>
      </c>
      <c r="F6" s="152" t="str">
        <f t="array" aca="1" ref="F6" ca="1">OFFSET(INDIRECT($A6&amp;"!A1"),(MATCH($B6,INDIRECT($A6&amp;"!A:A"),0)+$D6)-2,IF($A6="Deck_lvl_db",2,MATCH(Report_Generator!$A$4,INDIRECT($A6&amp;"!1:1"),0)-1))</f>
        <v>6509e475d013746050533998</v>
      </c>
    </row>
    <row r="7" spans="1:13" s="157" customFormat="1" x14ac:dyDescent="0.3">
      <c r="A7" s="157" t="s">
        <v>552</v>
      </c>
      <c r="B7" s="157" t="s">
        <v>486</v>
      </c>
      <c r="C7" s="157" t="s">
        <v>553</v>
      </c>
      <c r="D7" s="157">
        <v>3</v>
      </c>
      <c r="E7" s="163" t="s">
        <v>556</v>
      </c>
      <c r="F7" s="163" t="str">
        <f t="array" aca="1" ref="F7" ca="1">OFFSET(INDIRECT($A7&amp;"!A1"),(MATCH($B7,INDIRECT($A7&amp;"!A:A"),0)+$D7)-2,IF($A7="Deck_lvl_db",2,MATCH(Report_Generator!$A$4,INDIRECT($A7&amp;"!1:1"),0)-1))</f>
        <v>6509e475d013746050533999</v>
      </c>
    </row>
    <row r="8" spans="1:13" s="157" customFormat="1" x14ac:dyDescent="0.3">
      <c r="A8" s="157" t="s">
        <v>552</v>
      </c>
      <c r="B8" s="157" t="s">
        <v>486</v>
      </c>
      <c r="C8" s="157" t="s">
        <v>553</v>
      </c>
      <c r="D8" s="157">
        <v>4</v>
      </c>
      <c r="E8" s="163" t="s">
        <v>557</v>
      </c>
      <c r="F8" s="163" t="str">
        <f t="array" aca="1" ref="F8" ca="1">OFFSET(INDIRECT($A8&amp;"!A1"),(MATCH($B8,INDIRECT($A8&amp;"!A:A"),0)+$D8)-2,IF($A8="Deck_lvl_db",2,MATCH(Report_Generator!$A$4,INDIRECT($A8&amp;"!1:1"),0)-1))</f>
        <v>6509e475d01374605053399a</v>
      </c>
    </row>
    <row r="9" spans="1:13" s="157" customFormat="1" x14ac:dyDescent="0.3">
      <c r="A9" s="157" t="s">
        <v>552</v>
      </c>
      <c r="B9" s="157" t="s">
        <v>486</v>
      </c>
      <c r="C9" s="157" t="s">
        <v>553</v>
      </c>
      <c r="D9" s="157">
        <v>5</v>
      </c>
      <c r="E9" s="163" t="s">
        <v>558</v>
      </c>
      <c r="F9" s="163" t="str">
        <f t="array" aca="1" ref="F9" ca="1">OFFSET(INDIRECT($A9&amp;"!A1"),(MATCH($B9,INDIRECT($A9&amp;"!A:A"),0)+$D9)-2,IF($A9="Deck_lvl_db",2,MATCH(Report_Generator!$A$4,INDIRECT($A9&amp;"!1:1"),0)-1))</f>
        <v>6509e475d01374605053399b</v>
      </c>
    </row>
    <row r="10" spans="1:13" x14ac:dyDescent="0.3">
      <c r="A10" t="s">
        <v>552</v>
      </c>
      <c r="B10" t="s">
        <v>486</v>
      </c>
      <c r="C10" t="s">
        <v>553</v>
      </c>
      <c r="D10">
        <v>6</v>
      </c>
      <c r="E10" s="44" t="s">
        <v>559</v>
      </c>
      <c r="F10" s="44" t="str">
        <f t="array" aca="1" ref="F10" ca="1">OFFSET(INDIRECT($A10&amp;"!A1"),(MATCH($B10,INDIRECT($A10&amp;"!A:A"),0)+$D10)-2,IF($A10="Deck_lvl_db",2,MATCH(Report_Generator!$A$4,INDIRECT($A10&amp;"!1:1"),0)-1))</f>
        <v>6509e475d01374605053399c</v>
      </c>
      <c r="G10" s="44"/>
      <c r="H10" s="44"/>
    </row>
    <row r="11" spans="1:13" x14ac:dyDescent="0.3">
      <c r="A11" t="s">
        <v>552</v>
      </c>
      <c r="B11" t="s">
        <v>486</v>
      </c>
      <c r="C11" t="s">
        <v>553</v>
      </c>
      <c r="D11">
        <v>7</v>
      </c>
      <c r="E11" s="44" t="s">
        <v>560</v>
      </c>
      <c r="F11" s="44" t="str">
        <f t="array" aca="1" ref="F11" ca="1">OFFSET(INDIRECT($A11&amp;"!A1"),(MATCH($B11,INDIRECT($A11&amp;"!A:A"),0)+$D11)-2,IF($A11="Deck_lvl_db",2,MATCH(Report_Generator!$A$4,INDIRECT($A11&amp;"!1:1"),0)-1))</f>
        <v>6509e475d01374605053399d</v>
      </c>
      <c r="G11" s="44"/>
      <c r="H11" s="44"/>
    </row>
    <row r="12" spans="1:13" x14ac:dyDescent="0.3">
      <c r="A12" t="s">
        <v>552</v>
      </c>
      <c r="B12" t="s">
        <v>486</v>
      </c>
      <c r="C12" t="s">
        <v>553</v>
      </c>
      <c r="D12">
        <v>8</v>
      </c>
      <c r="E12" s="44" t="s">
        <v>561</v>
      </c>
      <c r="F12" s="44" t="str">
        <f t="array" aca="1" ref="F12" ca="1">OFFSET(INDIRECT($A12&amp;"!A1"),(MATCH($B12,INDIRECT($A12&amp;"!A:A"),0)+$D12)-2,IF($A12="Deck_lvl_db",2,MATCH(Report_Generator!$A$4,INDIRECT($A12&amp;"!1:1"),0)-1))</f>
        <v>6509e475d01374605053399e</v>
      </c>
      <c r="G12" s="44"/>
      <c r="H12" s="44"/>
    </row>
    <row r="13" spans="1:13" x14ac:dyDescent="0.3">
      <c r="A13" t="s">
        <v>552</v>
      </c>
      <c r="B13" t="s">
        <v>486</v>
      </c>
      <c r="C13" t="s">
        <v>553</v>
      </c>
      <c r="D13">
        <v>9</v>
      </c>
      <c r="E13" s="44" t="s">
        <v>562</v>
      </c>
      <c r="F13" s="44" t="str">
        <f t="array" aca="1" ref="F13" ca="1">OFFSET(INDIRECT($A13&amp;"!A1"),(MATCH($B13,INDIRECT($A13&amp;"!A:A"),0)+$D13)-2,IF($A13="Deck_lvl_db",2,MATCH(Report_Generator!$A$4,INDIRECT($A13&amp;"!1:1"),0)-1))</f>
        <v>650a0a1c04410260675a47d1</v>
      </c>
      <c r="G13" s="44"/>
      <c r="H13" s="44"/>
    </row>
    <row r="14" spans="1:13" x14ac:dyDescent="0.3">
      <c r="A14" t="s">
        <v>552</v>
      </c>
      <c r="B14" t="s">
        <v>486</v>
      </c>
      <c r="C14" t="s">
        <v>553</v>
      </c>
      <c r="D14">
        <v>10</v>
      </c>
      <c r="E14" s="44" t="s">
        <v>563</v>
      </c>
      <c r="F14" s="44" t="str">
        <f t="array" aca="1" ref="F14" ca="1">OFFSET(INDIRECT($A14&amp;"!A1"),(MATCH($B14,INDIRECT($A14&amp;"!A:A"),0)+$D14)-2,IF($A14="Deck_lvl_db",2,MATCH(Report_Generator!$A$4,INDIRECT($A14&amp;"!1:1"),0)-1))</f>
        <v>650a0a1c04410260675a47d2</v>
      </c>
      <c r="G14" s="44"/>
      <c r="H14" s="44"/>
    </row>
    <row r="15" spans="1:13" x14ac:dyDescent="0.3">
      <c r="A15" t="s">
        <v>552</v>
      </c>
      <c r="B15" t="s">
        <v>486</v>
      </c>
      <c r="C15" t="s">
        <v>553</v>
      </c>
      <c r="D15">
        <v>11</v>
      </c>
      <c r="E15" s="44" t="s">
        <v>564</v>
      </c>
      <c r="F15" s="44" t="str">
        <f t="array" aca="1" ref="F15" ca="1">OFFSET(INDIRECT($A15&amp;"!A1"),(MATCH($B15,INDIRECT($A15&amp;"!A:A"),0)+$D15)-2,IF($A15="Deck_lvl_db",2,MATCH(Report_Generator!$A$4,INDIRECT($A15&amp;"!1:1"),0)-1))</f>
        <v>650a0a1c04410260675a47d3</v>
      </c>
      <c r="G15" s="44"/>
      <c r="H15" s="44"/>
    </row>
    <row r="16" spans="1:13" x14ac:dyDescent="0.3">
      <c r="A16" t="s">
        <v>552</v>
      </c>
      <c r="B16" t="s">
        <v>486</v>
      </c>
      <c r="C16" t="s">
        <v>553</v>
      </c>
      <c r="D16">
        <v>12</v>
      </c>
      <c r="E16" s="23" t="s">
        <v>565</v>
      </c>
      <c r="F16" s="21" t="str">
        <f t="array" aca="1" ref="F16" ca="1">OFFSET(INDIRECT($A16&amp;"!A1"),(MATCH($B16,INDIRECT($A16&amp;"!A:A"),0)+$D16)-2,IF($A16="Deck_lvl_db",2,MATCH(Report_Generator!$A$4,INDIRECT($A16&amp;"!1:1"),0)-1))</f>
        <v>650a0a1c04410260675a47d4</v>
      </c>
    </row>
    <row r="17" spans="1:6" x14ac:dyDescent="0.3">
      <c r="A17" t="s">
        <v>552</v>
      </c>
      <c r="B17" t="s">
        <v>486</v>
      </c>
      <c r="C17" t="s">
        <v>553</v>
      </c>
      <c r="D17">
        <v>13</v>
      </c>
      <c r="E17" s="23" t="s">
        <v>566</v>
      </c>
      <c r="F17" s="21" t="str">
        <f t="array" aca="1" ref="F17" ca="1">OFFSET(INDIRECT($A17&amp;"!A1"),(MATCH($B17,INDIRECT($A17&amp;"!A:A"),0)+$D17)-2,IF($A17="Deck_lvl_db",2,MATCH(Report_Generator!$A$4,INDIRECT($A17&amp;"!1:1"),0)-1))</f>
        <v>650a0a1c04410260675a47d5</v>
      </c>
    </row>
    <row r="18" spans="1:6" x14ac:dyDescent="0.3">
      <c r="A18" t="s">
        <v>552</v>
      </c>
      <c r="B18" t="s">
        <v>486</v>
      </c>
      <c r="C18" t="s">
        <v>553</v>
      </c>
      <c r="D18">
        <v>14</v>
      </c>
      <c r="E18" s="23" t="s">
        <v>567</v>
      </c>
      <c r="F18" s="21" t="str">
        <f t="array" aca="1" ref="F18" ca="1">OFFSET(INDIRECT($A18&amp;"!A1"),(MATCH($B18,INDIRECT($A18&amp;"!A:A"),0)+$D18)-2,IF($A18="Deck_lvl_db",2,MATCH(Report_Generator!$A$4,INDIRECT($A18&amp;"!1:1"),0)-1))</f>
        <v>650a0a1c04410260675a47d6</v>
      </c>
    </row>
    <row r="19" spans="1:6" x14ac:dyDescent="0.3">
      <c r="A19" t="s">
        <v>552</v>
      </c>
      <c r="B19" t="s">
        <v>486</v>
      </c>
      <c r="C19" t="s">
        <v>553</v>
      </c>
      <c r="D19">
        <v>15</v>
      </c>
      <c r="E19" s="23" t="s">
        <v>568</v>
      </c>
      <c r="F19" s="21" t="str">
        <f t="array" aca="1" ref="F19" ca="1">OFFSET(INDIRECT($A19&amp;"!A1"),(MATCH($B19,INDIRECT($A19&amp;"!A:A"),0)+$D19)-2,IF($A19="Deck_lvl_db",2,MATCH(Report_Generator!$A$4,INDIRECT($A19&amp;"!1:1"),0)-1))</f>
        <v>650a0a1c04410260675a47d7</v>
      </c>
    </row>
    <row r="20" spans="1:6" x14ac:dyDescent="0.3">
      <c r="A20" t="s">
        <v>552</v>
      </c>
      <c r="B20" t="s">
        <v>486</v>
      </c>
      <c r="C20" t="s">
        <v>553</v>
      </c>
      <c r="D20">
        <v>16</v>
      </c>
      <c r="E20" s="23" t="s">
        <v>569</v>
      </c>
      <c r="F20" s="21" t="str">
        <f t="array" aca="1" ref="F20" ca="1">OFFSET(INDIRECT($A20&amp;"!A1"),(MATCH($B20,INDIRECT($A20&amp;"!A:A"),0)+$D20)-2,IF($A20="Deck_lvl_db",2,MATCH(Report_Generator!$A$4,INDIRECT($A20&amp;"!1:1"),0)-1))</f>
        <v>650a0a1c04410260675a47d8</v>
      </c>
    </row>
    <row r="21" spans="1:6" x14ac:dyDescent="0.3">
      <c r="A21" t="s">
        <v>552</v>
      </c>
      <c r="B21" t="s">
        <v>486</v>
      </c>
      <c r="C21" t="s">
        <v>553</v>
      </c>
      <c r="D21">
        <v>17</v>
      </c>
      <c r="E21" s="23" t="s">
        <v>570</v>
      </c>
      <c r="F21" s="21" t="str">
        <f t="array" aca="1" ref="F21" ca="1">OFFSET(INDIRECT($A21&amp;"!A1"),(MATCH($B21,INDIRECT($A21&amp;"!A:A"),0)+$D21)-2,IF($A21="Deck_lvl_db",2,MATCH(Report_Generator!$A$4,INDIRECT($A21&amp;"!1:1"),0)-1))</f>
        <v>650a0a1c04410260675a47d9</v>
      </c>
    </row>
    <row r="22" spans="1:6" x14ac:dyDescent="0.3">
      <c r="A22" t="s">
        <v>552</v>
      </c>
      <c r="B22" t="s">
        <v>486</v>
      </c>
      <c r="C22" t="s">
        <v>553</v>
      </c>
      <c r="D22">
        <v>18</v>
      </c>
      <c r="E22" s="23" t="s">
        <v>571</v>
      </c>
      <c r="F22" s="21" t="str">
        <f t="array" aca="1" ref="F22" ca="1">OFFSET(INDIRECT($A22&amp;"!A1"),(MATCH($B22,INDIRECT($A22&amp;"!A:A"),0)+$D22)-2,IF($A22="Deck_lvl_db",2,MATCH(Report_Generator!$A$4,INDIRECT($A22&amp;"!1:1"),0)-1))</f>
        <v>650b557559a24b71a22ff679</v>
      </c>
    </row>
    <row r="23" spans="1:6" x14ac:dyDescent="0.3">
      <c r="A23" t="s">
        <v>552</v>
      </c>
      <c r="B23" t="s">
        <v>486</v>
      </c>
      <c r="C23" t="s">
        <v>553</v>
      </c>
      <c r="D23">
        <v>19</v>
      </c>
      <c r="E23" s="23" t="s">
        <v>572</v>
      </c>
      <c r="F23" s="21" t="str">
        <f t="array" aca="1" ref="F23" ca="1">OFFSET(INDIRECT($A23&amp;"!A1"),(MATCH($B23,INDIRECT($A23&amp;"!A:A"),0)+$D23)-2,IF($A23="Deck_lvl_db",2,MATCH(Report_Generator!$A$4,INDIRECT($A23&amp;"!1:1"),0)-1))</f>
        <v>650b557559a24b71a22ff67a</v>
      </c>
    </row>
    <row r="24" spans="1:6" x14ac:dyDescent="0.3">
      <c r="A24" t="s">
        <v>552</v>
      </c>
      <c r="B24" t="s">
        <v>486</v>
      </c>
      <c r="C24" t="s">
        <v>553</v>
      </c>
      <c r="D24">
        <v>20</v>
      </c>
      <c r="E24" s="23" t="s">
        <v>573</v>
      </c>
      <c r="F24" s="21" t="str">
        <f t="array" aca="1" ref="F24" ca="1">OFFSET(INDIRECT($A24&amp;"!A1"),(MATCH($B24,INDIRECT($A24&amp;"!A:A"),0)+$D24)-2,IF($A24="Deck_lvl_db",2,MATCH(Report_Generator!$A$4,INDIRECT($A24&amp;"!1:1"),0)-1))</f>
        <v>650b557559a24b71a22ff67b</v>
      </c>
    </row>
    <row r="25" spans="1:6" x14ac:dyDescent="0.3">
      <c r="A25" t="s">
        <v>552</v>
      </c>
      <c r="B25" t="s">
        <v>486</v>
      </c>
      <c r="C25" t="s">
        <v>553</v>
      </c>
      <c r="D25">
        <v>21</v>
      </c>
      <c r="E25" s="23" t="s">
        <v>574</v>
      </c>
      <c r="F25" s="21" t="str">
        <f t="array" aca="1" ref="F25" ca="1">OFFSET(INDIRECT($A25&amp;"!A1"),(MATCH($B25,INDIRECT($A25&amp;"!A:A"),0)+$D25)-2,IF($A25="Deck_lvl_db",2,MATCH(Report_Generator!$A$4,INDIRECT($A25&amp;"!1:1"),0)-1))</f>
        <v>650b557559a24b71a22ff67c</v>
      </c>
    </row>
    <row r="26" spans="1:6" x14ac:dyDescent="0.3">
      <c r="A26" t="s">
        <v>552</v>
      </c>
      <c r="B26" t="s">
        <v>486</v>
      </c>
      <c r="C26" t="s">
        <v>553</v>
      </c>
      <c r="D26">
        <v>22</v>
      </c>
      <c r="E26" s="23" t="s">
        <v>575</v>
      </c>
      <c r="F26" s="21" t="str">
        <f t="array" aca="1" ref="F26" ca="1">OFFSET(INDIRECT($A26&amp;"!A1"),(MATCH($B26,INDIRECT($A26&amp;"!A:A"),0)+$D26)-2,IF($A26="Deck_lvl_db",2,MATCH(Report_Generator!$A$4,INDIRECT($A26&amp;"!1:1"),0)-1))</f>
        <v>650b557559a24b71a22ff67d</v>
      </c>
    </row>
    <row r="27" spans="1:6" x14ac:dyDescent="0.3">
      <c r="A27" t="s">
        <v>552</v>
      </c>
      <c r="B27" t="s">
        <v>486</v>
      </c>
      <c r="C27" t="s">
        <v>553</v>
      </c>
      <c r="D27">
        <v>23</v>
      </c>
      <c r="E27" s="23" t="s">
        <v>576</v>
      </c>
      <c r="F27" s="21" t="str">
        <f t="array" aca="1" ref="F27" ca="1">OFFSET(INDIRECT($A27&amp;"!A1"),(MATCH($B27,INDIRECT($A27&amp;"!A:A"),0)+$D27)-2,IF($A27="Deck_lvl_db",2,MATCH(Report_Generator!$A$4,INDIRECT($A27&amp;"!1:1"),0)-1))</f>
        <v>650b557559a24b71a22ff67e</v>
      </c>
    </row>
    <row r="28" spans="1:6" x14ac:dyDescent="0.3">
      <c r="A28" t="s">
        <v>552</v>
      </c>
      <c r="B28" t="s">
        <v>486</v>
      </c>
      <c r="C28" t="s">
        <v>553</v>
      </c>
      <c r="D28">
        <v>24</v>
      </c>
      <c r="E28" s="23" t="s">
        <v>577</v>
      </c>
      <c r="F28" s="21" t="str">
        <f t="array" aca="1" ref="F28" ca="1">OFFSET(INDIRECT($A28&amp;"!A1"),(MATCH($B28,INDIRECT($A28&amp;"!A:A"),0)+$D28)-2,IF($A28="Deck_lvl_db",2,MATCH(Report_Generator!$A$4,INDIRECT($A28&amp;"!1:1"),0)-1))</f>
        <v>650b557559a24b71a22ff67f</v>
      </c>
    </row>
    <row r="29" spans="1:6" x14ac:dyDescent="0.3">
      <c r="A29" t="s">
        <v>552</v>
      </c>
      <c r="B29" t="s">
        <v>486</v>
      </c>
      <c r="C29" t="s">
        <v>553</v>
      </c>
      <c r="D29">
        <v>25</v>
      </c>
      <c r="E29" s="23" t="s">
        <v>578</v>
      </c>
      <c r="F29" s="21" t="str">
        <f t="array" aca="1" ref="F29" ca="1">OFFSET(INDIRECT($A29&amp;"!A1"),(MATCH($B29,INDIRECT($A29&amp;"!A:A"),0)+$D29)-2,IF($A29="Deck_lvl_db",2,MATCH(Report_Generator!$A$4,INDIRECT($A29&amp;"!1:1"),0)-1))</f>
        <v>650b557559a24b71a22ff680</v>
      </c>
    </row>
    <row r="30" spans="1:6" x14ac:dyDescent="0.3">
      <c r="A30" t="s">
        <v>552</v>
      </c>
      <c r="B30" t="s">
        <v>486</v>
      </c>
      <c r="C30" t="s">
        <v>553</v>
      </c>
      <c r="D30">
        <v>26</v>
      </c>
      <c r="E30" s="23" t="s">
        <v>579</v>
      </c>
      <c r="F30" s="21" t="str">
        <f t="array" aca="1" ref="F30" ca="1">OFFSET(INDIRECT($A30&amp;"!A1"),(MATCH($B30,INDIRECT($A30&amp;"!A:A"),0)+$D30)-2,IF($A30="Deck_lvl_db",2,MATCH(Report_Generator!$A$4,INDIRECT($A30&amp;"!1:1"),0)-1))</f>
        <v>650b557559a24b71a22ff681</v>
      </c>
    </row>
    <row r="31" spans="1:6" x14ac:dyDescent="0.3">
      <c r="A31" t="s">
        <v>552</v>
      </c>
      <c r="B31" t="s">
        <v>486</v>
      </c>
      <c r="C31" t="s">
        <v>553</v>
      </c>
      <c r="D31">
        <v>27</v>
      </c>
      <c r="E31" s="23" t="s">
        <v>580</v>
      </c>
      <c r="F31" s="21" t="str">
        <f t="array" aca="1" ref="F31" ca="1">OFFSET(INDIRECT($A31&amp;"!A1"),(MATCH($B31,INDIRECT($A31&amp;"!A:A"),0)+$D31)-2,IF($A31="Deck_lvl_db",2,MATCH(Report_Generator!$A$4,INDIRECT($A31&amp;"!1:1"),0)-1))</f>
        <v>650b557559a24b71a22ff682</v>
      </c>
    </row>
    <row r="32" spans="1:6" x14ac:dyDescent="0.3">
      <c r="A32" t="s">
        <v>552</v>
      </c>
      <c r="B32" t="s">
        <v>486</v>
      </c>
      <c r="C32" t="s">
        <v>553</v>
      </c>
      <c r="D32">
        <v>28</v>
      </c>
      <c r="E32" s="23" t="s">
        <v>581</v>
      </c>
      <c r="F32" s="21" t="str">
        <f t="array" aca="1" ref="F32" ca="1">OFFSET(INDIRECT($A32&amp;"!A1"),(MATCH($B32,INDIRECT($A32&amp;"!A:A"),0)+$D32)-2,IF($A32="Deck_lvl_db",2,MATCH(Report_Generator!$A$4,INDIRECT($A32&amp;"!1:1"),0)-1))</f>
        <v>650b557559a24b71a22ff683</v>
      </c>
    </row>
    <row r="33" spans="1:6" x14ac:dyDescent="0.3">
      <c r="A33" t="s">
        <v>552</v>
      </c>
      <c r="B33" t="s">
        <v>486</v>
      </c>
      <c r="C33" t="s">
        <v>553</v>
      </c>
      <c r="D33">
        <v>29</v>
      </c>
      <c r="E33" s="23" t="s">
        <v>582</v>
      </c>
      <c r="F33" s="21" t="str">
        <f t="array" aca="1" ref="F33" ca="1">OFFSET(INDIRECT($A33&amp;"!A1"),(MATCH($B33,INDIRECT($A33&amp;"!A:A"),0)+$D33)-2,IF($A33="Deck_lvl_db",2,MATCH(Report_Generator!$A$4,INDIRECT($A33&amp;"!1:1"),0)-1))</f>
        <v>6511b54c228003470ddb41ed</v>
      </c>
    </row>
    <row r="34" spans="1:6" x14ac:dyDescent="0.3">
      <c r="A34" t="s">
        <v>552</v>
      </c>
      <c r="B34" t="s">
        <v>486</v>
      </c>
      <c r="C34" t="s">
        <v>553</v>
      </c>
      <c r="D34">
        <v>30</v>
      </c>
      <c r="E34" s="23" t="s">
        <v>583</v>
      </c>
      <c r="F34" s="21" t="str">
        <f t="array" aca="1" ref="F34" ca="1">OFFSET(INDIRECT($A34&amp;"!A1"),(MATCH($B34,INDIRECT($A34&amp;"!A:A"),0)+$D34)-2,IF($A34="Deck_lvl_db",2,MATCH(Report_Generator!$A$4,INDIRECT($A34&amp;"!1:1"),0)-1))</f>
        <v>6511b54c228003470ddb41ee</v>
      </c>
    </row>
    <row r="35" spans="1:6" x14ac:dyDescent="0.3">
      <c r="A35" t="s">
        <v>552</v>
      </c>
      <c r="B35" t="s">
        <v>486</v>
      </c>
      <c r="C35" t="s">
        <v>553</v>
      </c>
      <c r="D35">
        <v>31</v>
      </c>
      <c r="E35" s="23" t="s">
        <v>584</v>
      </c>
      <c r="F35" s="21" t="str">
        <f t="array" aca="1" ref="F35" ca="1">OFFSET(INDIRECT($A35&amp;"!A1"),(MATCH($B35,INDIRECT($A35&amp;"!A:A"),0)+$D35)-2,IF($A35="Deck_lvl_db",2,MATCH(Report_Generator!$A$4,INDIRECT($A35&amp;"!1:1"),0)-1))</f>
        <v>6511b54c228003470ddb41ef</v>
      </c>
    </row>
    <row r="36" spans="1:6" x14ac:dyDescent="0.3">
      <c r="A36" t="s">
        <v>552</v>
      </c>
      <c r="B36" t="s">
        <v>486</v>
      </c>
      <c r="C36" t="s">
        <v>553</v>
      </c>
      <c r="D36">
        <v>32</v>
      </c>
      <c r="E36" s="23" t="s">
        <v>585</v>
      </c>
      <c r="F36" s="21" t="str">
        <f t="array" aca="1" ref="F36" ca="1">OFFSET(INDIRECT($A36&amp;"!A1"),(MATCH($B36,INDIRECT($A36&amp;"!A:A"),0)+$D36)-2,IF($A36="Deck_lvl_db",2,MATCH(Report_Generator!$A$4,INDIRECT($A36&amp;"!1:1"),0)-1))</f>
        <v>6511b54c228003470ddb41f0</v>
      </c>
    </row>
    <row r="37" spans="1:6" x14ac:dyDescent="0.3">
      <c r="A37" t="s">
        <v>552</v>
      </c>
      <c r="B37" t="s">
        <v>486</v>
      </c>
      <c r="C37" t="s">
        <v>553</v>
      </c>
      <c r="D37">
        <v>33</v>
      </c>
      <c r="E37" s="23" t="s">
        <v>586</v>
      </c>
      <c r="F37" s="21" t="str">
        <f t="array" aca="1" ref="F37" ca="1">OFFSET(INDIRECT($A37&amp;"!A1"),(MATCH($B37,INDIRECT($A37&amp;"!A:A"),0)+$D37)-2,IF($A37="Deck_lvl_db",2,MATCH(Report_Generator!$A$4,INDIRECT($A37&amp;"!1:1"),0)-1))</f>
        <v>6511b54c228003470ddb41f1</v>
      </c>
    </row>
    <row r="38" spans="1:6" x14ac:dyDescent="0.3">
      <c r="A38" t="s">
        <v>552</v>
      </c>
      <c r="B38" t="s">
        <v>486</v>
      </c>
      <c r="C38" t="s">
        <v>553</v>
      </c>
      <c r="D38">
        <v>34</v>
      </c>
      <c r="E38" s="23" t="s">
        <v>587</v>
      </c>
      <c r="F38" s="21" t="str">
        <f t="array" aca="1" ref="F38" ca="1">OFFSET(INDIRECT($A38&amp;"!A1"),(MATCH($B38,INDIRECT($A38&amp;"!A:A"),0)+$D38)-2,IF($A38="Deck_lvl_db",2,MATCH(Report_Generator!$A$4,INDIRECT($A38&amp;"!1:1"),0)-1))</f>
        <v>6511b54c228003470ddb41f2</v>
      </c>
    </row>
    <row r="39" spans="1:6" x14ac:dyDescent="0.3">
      <c r="A39" t="s">
        <v>552</v>
      </c>
      <c r="B39" t="s">
        <v>486</v>
      </c>
      <c r="C39" t="s">
        <v>553</v>
      </c>
      <c r="D39">
        <v>35</v>
      </c>
      <c r="E39" s="23" t="s">
        <v>588</v>
      </c>
      <c r="F39" s="21" t="str">
        <f t="array" aca="1" ref="F39" ca="1">OFFSET(INDIRECT($A39&amp;"!A1"),(MATCH($B39,INDIRECT($A39&amp;"!A:A"),0)+$D39)-2,IF($A39="Deck_lvl_db",2,MATCH(Report_Generator!$A$4,INDIRECT($A39&amp;"!1:1"),0)-1))</f>
        <v>651338314c8a6370bc3733cc</v>
      </c>
    </row>
    <row r="40" spans="1:6" x14ac:dyDescent="0.3">
      <c r="A40" t="s">
        <v>552</v>
      </c>
      <c r="B40" t="s">
        <v>486</v>
      </c>
      <c r="C40" t="s">
        <v>553</v>
      </c>
      <c r="D40">
        <v>36</v>
      </c>
      <c r="E40" s="23" t="s">
        <v>589</v>
      </c>
      <c r="F40" s="21" t="str">
        <f t="array" aca="1" ref="F40" ca="1">OFFSET(INDIRECT($A40&amp;"!A1"),(MATCH($B40,INDIRECT($A40&amp;"!A:A"),0)+$D40)-2,IF($A40="Deck_lvl_db",2,MATCH(Report_Generator!$A$4,INDIRECT($A40&amp;"!1:1"),0)-1))</f>
        <v>651338314c8a6370bc3733cd</v>
      </c>
    </row>
    <row r="41" spans="1:6" x14ac:dyDescent="0.3">
      <c r="A41" t="s">
        <v>552</v>
      </c>
      <c r="B41" t="s">
        <v>486</v>
      </c>
      <c r="C41" t="s">
        <v>553</v>
      </c>
      <c r="D41">
        <v>37</v>
      </c>
      <c r="E41" s="23" t="s">
        <v>590</v>
      </c>
      <c r="F41" s="21" t="str">
        <f t="array" aca="1" ref="F41" ca="1">OFFSET(INDIRECT($A41&amp;"!A1"),(MATCH($B41,INDIRECT($A41&amp;"!A:A"),0)+$D41)-2,IF($A41="Deck_lvl_db",2,MATCH(Report_Generator!$A$4,INDIRECT($A41&amp;"!1:1"),0)-1))</f>
        <v>651338314c8a6370bc3733ce</v>
      </c>
    </row>
    <row r="42" spans="1:6" x14ac:dyDescent="0.3">
      <c r="A42" t="s">
        <v>552</v>
      </c>
      <c r="B42" t="s">
        <v>486</v>
      </c>
      <c r="C42" t="s">
        <v>553</v>
      </c>
      <c r="D42">
        <v>38</v>
      </c>
      <c r="E42" s="23" t="s">
        <v>591</v>
      </c>
      <c r="F42" s="21" t="str">
        <f t="array" aca="1" ref="F42" ca="1">OFFSET(INDIRECT($A42&amp;"!A1"),(MATCH($B42,INDIRECT($A42&amp;"!A:A"),0)+$D42)-2,IF($A42="Deck_lvl_db",2,MATCH(Report_Generator!$A$4,INDIRECT($A42&amp;"!1:1"),0)-1))</f>
        <v>651338314c8a6370bc3733cf</v>
      </c>
    </row>
    <row r="43" spans="1:6" x14ac:dyDescent="0.3">
      <c r="A43" t="s">
        <v>552</v>
      </c>
      <c r="B43" t="s">
        <v>486</v>
      </c>
      <c r="C43" t="s">
        <v>553</v>
      </c>
      <c r="D43">
        <v>39</v>
      </c>
      <c r="E43" s="23" t="s">
        <v>592</v>
      </c>
      <c r="F43" s="21" t="str">
        <f t="array" aca="1" ref="F43" ca="1">OFFSET(INDIRECT($A43&amp;"!A1"),(MATCH($B43,INDIRECT($A43&amp;"!A:A"),0)+$D43)-2,IF($A43="Deck_lvl_db",2,MATCH(Report_Generator!$A$4,INDIRECT($A43&amp;"!1:1"),0)-1))</f>
        <v>651338314c8a6370bc3733d0</v>
      </c>
    </row>
    <row r="44" spans="1:6" x14ac:dyDescent="0.3">
      <c r="A44" t="s">
        <v>552</v>
      </c>
      <c r="B44" t="s">
        <v>486</v>
      </c>
      <c r="C44" t="s">
        <v>553</v>
      </c>
      <c r="D44">
        <v>40</v>
      </c>
      <c r="E44" s="23" t="s">
        <v>593</v>
      </c>
      <c r="F44" s="21" t="str">
        <f t="array" aca="1" ref="F44" ca="1">OFFSET(INDIRECT($A44&amp;"!A1"),(MATCH($B44,INDIRECT($A44&amp;"!A:A"),0)+$D44)-2,IF($A44="Deck_lvl_db",2,MATCH(Report_Generator!$A$4,INDIRECT($A44&amp;"!1:1"),0)-1))</f>
        <v>651338314c8a6370bc3733d1</v>
      </c>
    </row>
    <row r="45" spans="1:6" x14ac:dyDescent="0.3">
      <c r="A45" t="s">
        <v>552</v>
      </c>
      <c r="B45" t="s">
        <v>486</v>
      </c>
      <c r="C45" t="s">
        <v>553</v>
      </c>
      <c r="D45">
        <v>41</v>
      </c>
      <c r="E45" s="23" t="s">
        <v>594</v>
      </c>
      <c r="F45" s="21" t="str">
        <f t="array" aca="1" ref="F45" ca="1">OFFSET(INDIRECT($A45&amp;"!A1"),(MATCH($B45,INDIRECT($A45&amp;"!A:A"),0)+$D45)-2,IF($A45="Deck_lvl_db",2,MATCH(Report_Generator!$A$4,INDIRECT($A45&amp;"!1:1"),0)-1))</f>
        <v>651338314c8a6370bc3733d2</v>
      </c>
    </row>
    <row r="46" spans="1:6" x14ac:dyDescent="0.3">
      <c r="A46" t="s">
        <v>552</v>
      </c>
      <c r="B46" t="s">
        <v>486</v>
      </c>
      <c r="C46" t="s">
        <v>553</v>
      </c>
      <c r="D46">
        <v>42</v>
      </c>
      <c r="E46" s="23" t="s">
        <v>595</v>
      </c>
      <c r="F46" s="21" t="str">
        <f t="array" aca="1" ref="F46" ca="1">OFFSET(INDIRECT($A46&amp;"!A1"),(MATCH($B46,INDIRECT($A46&amp;"!A:A"),0)+$D46)-2,IF($A46="Deck_lvl_db",2,MATCH(Report_Generator!$A$4,INDIRECT($A46&amp;"!1:1"),0)-1))</f>
        <v>6514acb28b76b60a127a6468</v>
      </c>
    </row>
    <row r="47" spans="1:6" x14ac:dyDescent="0.3">
      <c r="A47" t="s">
        <v>552</v>
      </c>
      <c r="B47" t="s">
        <v>486</v>
      </c>
      <c r="C47" t="s">
        <v>553</v>
      </c>
      <c r="D47">
        <v>43</v>
      </c>
      <c r="E47" s="23" t="s">
        <v>596</v>
      </c>
      <c r="F47" s="21" t="str">
        <f t="array" aca="1" ref="F47" ca="1">OFFSET(INDIRECT($A47&amp;"!A1"),(MATCH($B47,INDIRECT($A47&amp;"!A:A"),0)+$D47)-2,IF($A47="Deck_lvl_db",2,MATCH(Report_Generator!$A$4,INDIRECT($A47&amp;"!1:1"),0)-1))</f>
        <v>6514acb28b76b60a127a6469</v>
      </c>
    </row>
    <row r="48" spans="1:6" x14ac:dyDescent="0.3">
      <c r="A48" t="s">
        <v>552</v>
      </c>
      <c r="B48" t="s">
        <v>486</v>
      </c>
      <c r="C48" t="s">
        <v>553</v>
      </c>
      <c r="D48">
        <v>44</v>
      </c>
      <c r="E48" s="23" t="s">
        <v>597</v>
      </c>
      <c r="F48" s="21" t="str">
        <f t="array" aca="1" ref="F48" ca="1">OFFSET(INDIRECT($A48&amp;"!A1"),(MATCH($B48,INDIRECT($A48&amp;"!A:A"),0)+$D48)-2,IF($A48="Deck_lvl_db",2,MATCH(Report_Generator!$A$4,INDIRECT($A48&amp;"!1:1"),0)-1))</f>
        <v>6514acb28b76b60a127a646a</v>
      </c>
    </row>
    <row r="49" spans="1:6" x14ac:dyDescent="0.3">
      <c r="A49" t="s">
        <v>552</v>
      </c>
      <c r="B49" t="s">
        <v>486</v>
      </c>
      <c r="C49" t="s">
        <v>553</v>
      </c>
      <c r="D49">
        <v>45</v>
      </c>
      <c r="E49" s="23" t="s">
        <v>598</v>
      </c>
      <c r="F49" s="21" t="str">
        <f t="array" aca="1" ref="F49" ca="1">OFFSET(INDIRECT($A49&amp;"!A1"),(MATCH($B49,INDIRECT($A49&amp;"!A:A"),0)+$D49)-2,IF($A49="Deck_lvl_db",2,MATCH(Report_Generator!$A$4,INDIRECT($A49&amp;"!1:1"),0)-1))</f>
        <v>6514acb28b76b60a127a646b</v>
      </c>
    </row>
    <row r="50" spans="1:6" x14ac:dyDescent="0.3">
      <c r="A50" t="s">
        <v>552</v>
      </c>
      <c r="B50" t="s">
        <v>486</v>
      </c>
      <c r="C50" t="s">
        <v>553</v>
      </c>
      <c r="D50">
        <v>46</v>
      </c>
      <c r="E50" s="23" t="s">
        <v>599</v>
      </c>
      <c r="F50" s="21" t="str">
        <f t="array" aca="1" ref="F50" ca="1">OFFSET(INDIRECT($A50&amp;"!A1"),(MATCH($B50,INDIRECT($A50&amp;"!A:A"),0)+$D50)-2,IF($A50="Deck_lvl_db",2,MATCH(Report_Generator!$A$4,INDIRECT($A50&amp;"!1:1"),0)-1))</f>
        <v>6514acb28b76b60a127a646c</v>
      </c>
    </row>
    <row r="51" spans="1:6" x14ac:dyDescent="0.3">
      <c r="A51" t="s">
        <v>552</v>
      </c>
      <c r="B51" t="s">
        <v>486</v>
      </c>
      <c r="C51" t="s">
        <v>553</v>
      </c>
      <c r="D51">
        <v>47</v>
      </c>
      <c r="E51" s="23" t="s">
        <v>600</v>
      </c>
      <c r="F51" s="21" t="str">
        <f t="array" aca="1" ref="F51" ca="1">OFFSET(INDIRECT($A51&amp;"!A1"),(MATCH($B51,INDIRECT($A51&amp;"!A:A"),0)+$D51)-2,IF($A51="Deck_lvl_db",2,MATCH(Report_Generator!$A$4,INDIRECT($A51&amp;"!1:1"),0)-1))</f>
        <v>6514acb28b76b60a127a646d</v>
      </c>
    </row>
    <row r="52" spans="1:6" x14ac:dyDescent="0.3">
      <c r="A52" t="s">
        <v>552</v>
      </c>
      <c r="B52" t="s">
        <v>486</v>
      </c>
      <c r="C52" t="s">
        <v>553</v>
      </c>
      <c r="D52">
        <v>48</v>
      </c>
      <c r="E52" s="23" t="s">
        <v>601</v>
      </c>
      <c r="F52" s="21" t="str">
        <f t="array" aca="1" ref="F52" ca="1">OFFSET(INDIRECT($A52&amp;"!A1"),(MATCH($B52,INDIRECT($A52&amp;"!A:A"),0)+$D52)-2,IF($A52="Deck_lvl_db",2,MATCH(Report_Generator!$A$4,INDIRECT($A52&amp;"!1:1"),0)-1))</f>
        <v>6514acb28b76b60a127a646e</v>
      </c>
    </row>
    <row r="53" spans="1:6" x14ac:dyDescent="0.3">
      <c r="A53" t="s">
        <v>552</v>
      </c>
      <c r="B53" t="s">
        <v>486</v>
      </c>
      <c r="C53" t="s">
        <v>553</v>
      </c>
      <c r="D53">
        <v>49</v>
      </c>
      <c r="E53" s="23" t="s">
        <v>602</v>
      </c>
      <c r="F53" s="21" t="str">
        <f t="array" aca="1" ref="F53" ca="1">OFFSET(INDIRECT($A53&amp;"!A1"),(MATCH($B53,INDIRECT($A53&amp;"!A:A"),0)+$D53)-2,IF($A53="Deck_lvl_db",2,MATCH(Report_Generator!$A$4,INDIRECT($A53&amp;"!1:1"),0)-1))</f>
        <v>6514acb28b76b60a127a646f</v>
      </c>
    </row>
    <row r="54" spans="1:6" x14ac:dyDescent="0.3">
      <c r="A54" t="s">
        <v>552</v>
      </c>
      <c r="B54" t="s">
        <v>486</v>
      </c>
      <c r="C54" t="s">
        <v>553</v>
      </c>
      <c r="D54">
        <v>50</v>
      </c>
      <c r="E54" s="23" t="s">
        <v>603</v>
      </c>
      <c r="F54" s="21" t="str">
        <f t="array" aca="1" ref="F54" ca="1">OFFSET(INDIRECT($A54&amp;"!A1"),(MATCH($B54,INDIRECT($A54&amp;"!A:A"),0)+$D54)-2,IF($A54="Deck_lvl_db",2,MATCH(Report_Generator!$A$4,INDIRECT($A54&amp;"!1:1"),0)-1))</f>
        <v>6515b97ad4652873ebe6f7cd</v>
      </c>
    </row>
    <row r="55" spans="1:6" x14ac:dyDescent="0.3">
      <c r="A55" t="s">
        <v>552</v>
      </c>
      <c r="B55" t="s">
        <v>486</v>
      </c>
      <c r="C55" t="s">
        <v>553</v>
      </c>
      <c r="D55">
        <v>51</v>
      </c>
      <c r="E55" s="23" t="s">
        <v>604</v>
      </c>
      <c r="F55" s="21" t="str">
        <f t="array" aca="1" ref="F55" ca="1">OFFSET(INDIRECT($A55&amp;"!A1"),(MATCH($B55,INDIRECT($A55&amp;"!A:A"),0)+$D55)-2,IF($A55="Deck_lvl_db",2,MATCH(Report_Generator!$A$4,INDIRECT($A55&amp;"!1:1"),0)-1))</f>
        <v>6515b97ad4652873ebe6f7ce</v>
      </c>
    </row>
    <row r="56" spans="1:6" x14ac:dyDescent="0.3">
      <c r="A56" t="s">
        <v>552</v>
      </c>
      <c r="B56" t="s">
        <v>486</v>
      </c>
      <c r="C56" t="s">
        <v>553</v>
      </c>
      <c r="D56">
        <v>52</v>
      </c>
      <c r="E56" s="23" t="s">
        <v>605</v>
      </c>
      <c r="F56" s="21" t="str">
        <f t="array" aca="1" ref="F56" ca="1">OFFSET(INDIRECT($A56&amp;"!A1"),(MATCH($B56,INDIRECT($A56&amp;"!A:A"),0)+$D56)-2,IF($A56="Deck_lvl_db",2,MATCH(Report_Generator!$A$4,INDIRECT($A56&amp;"!1:1"),0)-1))</f>
        <v>6515b97ad4652873ebe6f7cf</v>
      </c>
    </row>
    <row r="57" spans="1:6" x14ac:dyDescent="0.3">
      <c r="A57" t="s">
        <v>552</v>
      </c>
      <c r="B57" t="s">
        <v>486</v>
      </c>
      <c r="C57" t="s">
        <v>553</v>
      </c>
      <c r="D57">
        <v>53</v>
      </c>
      <c r="E57" s="23" t="s">
        <v>606</v>
      </c>
      <c r="F57" s="21" t="str">
        <f t="array" aca="1" ref="F57" ca="1">OFFSET(INDIRECT($A57&amp;"!A1"),(MATCH($B57,INDIRECT($A57&amp;"!A:A"),0)+$D57)-2,IF($A57="Deck_lvl_db",2,MATCH(Report_Generator!$A$4,INDIRECT($A57&amp;"!1:1"),0)-1))</f>
        <v>6515b97ad4652873ebe6f7d0</v>
      </c>
    </row>
    <row r="58" spans="1:6" x14ac:dyDescent="0.3">
      <c r="A58" t="s">
        <v>552</v>
      </c>
      <c r="B58" t="s">
        <v>486</v>
      </c>
      <c r="C58" t="s">
        <v>553</v>
      </c>
      <c r="D58">
        <v>54</v>
      </c>
      <c r="E58" s="23" t="s">
        <v>607</v>
      </c>
      <c r="F58" s="21" t="str">
        <f t="array" aca="1" ref="F58" ca="1">OFFSET(INDIRECT($A58&amp;"!A1"),(MATCH($B58,INDIRECT($A58&amp;"!A:A"),0)+$D58)-2,IF($A58="Deck_lvl_db",2,MATCH(Report_Generator!$A$4,INDIRECT($A58&amp;"!1:1"),0)-1))</f>
        <v>6515b97ad4652873ebe6f7d1</v>
      </c>
    </row>
  </sheetData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rgb="FFFFFF00"/>
  </sheetPr>
  <dimension ref="A1:Z73"/>
  <sheetViews>
    <sheetView showGridLines="0" topLeftCell="A3" zoomScale="38" zoomScaleNormal="100" zoomScaleSheetLayoutView="396" workbookViewId="0">
      <pane ySplit="1" topLeftCell="A4" activePane="bottomLeft" state="frozen"/>
      <selection pane="bottomLeft" activeCell="A4" sqref="A4:B137"/>
    </sheetView>
  </sheetViews>
  <sheetFormatPr defaultColWidth="8.5546875" defaultRowHeight="14.4" x14ac:dyDescent="0.3"/>
  <cols>
    <col min="1" max="1" width="10.33203125" customWidth="1"/>
    <col min="2" max="2" width="9" bestFit="1" customWidth="1"/>
    <col min="3" max="3" width="12.33203125" customWidth="1"/>
    <col min="4" max="4" width="18.5546875" customWidth="1"/>
    <col min="5" max="5" width="25.33203125" customWidth="1"/>
    <col min="6" max="6" width="12.5546875" customWidth="1"/>
    <col min="7" max="7" width="14.5546875" customWidth="1"/>
    <col min="8" max="8" width="21" customWidth="1"/>
    <col min="9" max="9" width="20.33203125" customWidth="1"/>
    <col min="10" max="10" width="14.5546875" customWidth="1"/>
    <col min="11" max="11" width="16.33203125" customWidth="1"/>
    <col min="12" max="12" width="19.5546875" customWidth="1"/>
    <col min="13" max="13" width="8.33203125" customWidth="1"/>
    <col min="14" max="14" width="36.5546875" customWidth="1"/>
    <col min="15" max="15" width="55.77734375" customWidth="1"/>
    <col min="16" max="16" width="40.44140625" customWidth="1"/>
    <col min="17" max="17" width="41.33203125" customWidth="1"/>
    <col min="18" max="18" width="12.33203125" customWidth="1"/>
    <col min="19" max="19" width="23" customWidth="1"/>
    <col min="20" max="20" width="72.109375" customWidth="1"/>
    <col min="21" max="21" width="34.33203125" bestFit="1" customWidth="1"/>
    <col min="22" max="22" width="14.77734375" customWidth="1"/>
    <col min="23" max="23" width="36.5546875" customWidth="1"/>
    <col min="24" max="24" width="18.5546875" customWidth="1"/>
    <col min="25" max="25" width="28" customWidth="1"/>
    <col min="26" max="26" width="30.33203125" customWidth="1"/>
  </cols>
  <sheetData>
    <row r="1" spans="1:26" ht="15" hidden="1" customHeight="1" x14ac:dyDescent="0.3">
      <c r="B1" s="22"/>
      <c r="H1" s="27"/>
      <c r="O1" s="34"/>
      <c r="P1" s="34"/>
      <c r="T1" s="34"/>
      <c r="V1" s="67"/>
    </row>
    <row r="2" spans="1:26" ht="15" hidden="1" customHeight="1" x14ac:dyDescent="0.3">
      <c r="B2" s="183" t="s">
        <v>608</v>
      </c>
      <c r="C2" s="184"/>
      <c r="D2" s="184"/>
      <c r="E2" s="185"/>
      <c r="H2" s="183" t="s">
        <v>609</v>
      </c>
      <c r="I2" s="184"/>
      <c r="J2" s="185"/>
      <c r="K2" s="13"/>
      <c r="L2" s="13"/>
      <c r="M2" s="13"/>
      <c r="N2" s="13"/>
      <c r="O2" s="183" t="s">
        <v>610</v>
      </c>
      <c r="P2" s="184"/>
      <c r="Q2" s="184"/>
      <c r="R2" s="184"/>
      <c r="S2" s="184"/>
      <c r="T2" s="185"/>
      <c r="U2" s="7"/>
      <c r="V2" s="29"/>
    </row>
    <row r="3" spans="1:26" s="70" customFormat="1" ht="24" customHeight="1" x14ac:dyDescent="0.3">
      <c r="A3" s="75" t="s">
        <v>549</v>
      </c>
      <c r="B3" s="62" t="s">
        <v>611</v>
      </c>
      <c r="C3" s="63" t="s">
        <v>612</v>
      </c>
      <c r="D3" s="62" t="s">
        <v>613</v>
      </c>
      <c r="E3" s="62" t="s">
        <v>614</v>
      </c>
      <c r="F3" s="62" t="s">
        <v>615</v>
      </c>
      <c r="G3" s="62" t="s">
        <v>616</v>
      </c>
      <c r="H3" s="62" t="s">
        <v>617</v>
      </c>
      <c r="I3" s="62" t="s">
        <v>618</v>
      </c>
      <c r="J3" s="62" t="s">
        <v>619</v>
      </c>
      <c r="K3" s="68" t="s">
        <v>620</v>
      </c>
      <c r="L3" s="68" t="s">
        <v>621</v>
      </c>
      <c r="M3" s="68" t="s">
        <v>622</v>
      </c>
      <c r="N3" s="68" t="s">
        <v>623</v>
      </c>
      <c r="O3" s="68" t="s">
        <v>624</v>
      </c>
      <c r="P3" s="68" t="s">
        <v>625</v>
      </c>
      <c r="Q3" s="68" t="s">
        <v>626</v>
      </c>
      <c r="R3" s="68" t="s">
        <v>627</v>
      </c>
      <c r="S3" s="68" t="s">
        <v>628</v>
      </c>
      <c r="T3" s="68" t="s">
        <v>629</v>
      </c>
      <c r="U3" s="68" t="s">
        <v>630</v>
      </c>
      <c r="V3" s="69" t="s">
        <v>631</v>
      </c>
      <c r="W3" s="62" t="s">
        <v>632</v>
      </c>
      <c r="X3" s="62" t="s">
        <v>633</v>
      </c>
      <c r="Y3" s="62" t="s">
        <v>634</v>
      </c>
      <c r="Z3" s="62" t="s">
        <v>635</v>
      </c>
    </row>
    <row r="4" spans="1:26" s="169" customFormat="1" ht="58.95" customHeight="1" x14ac:dyDescent="0.3">
      <c r="C4" s="169" t="str">
        <f>IFERROR(VLOOKUP(B4,'Control Sheet_Custom'!$A:$B,2,0),"")</f>
        <v/>
      </c>
      <c r="D4" s="169" t="s">
        <v>636</v>
      </c>
      <c r="E4" s="169" t="s">
        <v>637</v>
      </c>
      <c r="F4" s="169" t="s">
        <v>638</v>
      </c>
      <c r="H4" s="169" t="s">
        <v>36</v>
      </c>
      <c r="I4" s="169" t="s">
        <v>639</v>
      </c>
      <c r="J4" s="169" t="s">
        <v>13</v>
      </c>
      <c r="N4" s="169" t="s">
        <v>624</v>
      </c>
      <c r="O4" s="170" t="s">
        <v>640</v>
      </c>
      <c r="R4" s="169" t="s">
        <v>641</v>
      </c>
      <c r="T4" s="171" t="s">
        <v>642</v>
      </c>
      <c r="U4" s="171"/>
      <c r="W4" s="169" t="s">
        <v>643</v>
      </c>
      <c r="X4" s="169" t="s">
        <v>644</v>
      </c>
      <c r="Y4" s="169" t="s">
        <v>645</v>
      </c>
    </row>
    <row r="5" spans="1:26" s="169" customFormat="1" ht="58.95" customHeight="1" x14ac:dyDescent="0.3">
      <c r="C5" s="169" t="str">
        <f>IFERROR(VLOOKUP(B5,'Control Sheet_Custom'!$A:$B,2,0),"")</f>
        <v/>
      </c>
      <c r="D5" s="169" t="s">
        <v>636</v>
      </c>
      <c r="E5" s="169" t="s">
        <v>646</v>
      </c>
      <c r="F5" s="169" t="s">
        <v>638</v>
      </c>
      <c r="H5" s="169" t="s">
        <v>36</v>
      </c>
      <c r="I5" s="169" t="s">
        <v>639</v>
      </c>
      <c r="J5" s="169" t="s">
        <v>13</v>
      </c>
      <c r="N5" s="169" t="s">
        <v>624</v>
      </c>
      <c r="O5" s="170" t="s">
        <v>647</v>
      </c>
      <c r="R5" s="169" t="s">
        <v>641</v>
      </c>
      <c r="T5" s="171" t="s">
        <v>642</v>
      </c>
      <c r="U5" s="171"/>
      <c r="W5" s="169" t="s">
        <v>643</v>
      </c>
      <c r="X5" s="169" t="s">
        <v>644</v>
      </c>
      <c r="Y5" s="169" t="s">
        <v>645</v>
      </c>
    </row>
    <row r="6" spans="1:26" s="169" customFormat="1" ht="58.95" customHeight="1" x14ac:dyDescent="0.3">
      <c r="C6" s="169" t="str">
        <f>IFERROR(VLOOKUP(B6,'Control Sheet_Custom'!$A:$B,2,0),"")</f>
        <v/>
      </c>
      <c r="D6" s="169" t="s">
        <v>636</v>
      </c>
      <c r="E6" s="169" t="s">
        <v>648</v>
      </c>
      <c r="F6" s="169" t="s">
        <v>638</v>
      </c>
      <c r="H6" s="169" t="s">
        <v>36</v>
      </c>
      <c r="I6" s="169" t="s">
        <v>639</v>
      </c>
      <c r="J6" s="169" t="s">
        <v>13</v>
      </c>
      <c r="N6" s="169" t="s">
        <v>624</v>
      </c>
      <c r="O6" s="170" t="s">
        <v>649</v>
      </c>
      <c r="R6" s="169" t="s">
        <v>641</v>
      </c>
      <c r="T6" s="171" t="s">
        <v>642</v>
      </c>
      <c r="U6" s="171"/>
      <c r="W6" s="169" t="s">
        <v>643</v>
      </c>
      <c r="X6" s="169" t="s">
        <v>644</v>
      </c>
      <c r="Y6" s="169" t="s">
        <v>645</v>
      </c>
    </row>
    <row r="7" spans="1:26" s="169" customFormat="1" ht="58.95" customHeight="1" x14ac:dyDescent="0.3">
      <c r="C7" s="169" t="str">
        <f>IFERROR(VLOOKUP(B7,'Control Sheet_Custom'!$A:$B,2,0),"")</f>
        <v/>
      </c>
      <c r="D7" s="169" t="s">
        <v>636</v>
      </c>
      <c r="E7" s="169" t="s">
        <v>650</v>
      </c>
      <c r="F7" s="169" t="s">
        <v>638</v>
      </c>
      <c r="H7" s="169" t="s">
        <v>36</v>
      </c>
      <c r="I7" s="169" t="s">
        <v>639</v>
      </c>
      <c r="J7" s="169" t="s">
        <v>13</v>
      </c>
      <c r="N7" s="169" t="s">
        <v>624</v>
      </c>
      <c r="O7" s="170" t="s">
        <v>651</v>
      </c>
      <c r="R7" s="169" t="s">
        <v>641</v>
      </c>
      <c r="T7" s="171" t="s">
        <v>642</v>
      </c>
      <c r="U7" s="171"/>
      <c r="W7" s="169" t="s">
        <v>643</v>
      </c>
      <c r="X7" s="169" t="s">
        <v>644</v>
      </c>
      <c r="Y7" s="169" t="s">
        <v>645</v>
      </c>
    </row>
    <row r="8" spans="1:26" s="169" customFormat="1" ht="58.95" customHeight="1" x14ac:dyDescent="0.3">
      <c r="C8" s="169" t="str">
        <f>IFERROR(VLOOKUP(B8,'Control Sheet_Custom'!$A:$B,2,0),"")</f>
        <v/>
      </c>
      <c r="D8" s="169" t="s">
        <v>636</v>
      </c>
      <c r="E8" s="169" t="s">
        <v>652</v>
      </c>
      <c r="F8" s="169" t="s">
        <v>638</v>
      </c>
      <c r="H8" s="169" t="s">
        <v>36</v>
      </c>
      <c r="I8" s="169" t="s">
        <v>639</v>
      </c>
      <c r="J8" s="169" t="s">
        <v>13</v>
      </c>
      <c r="N8" s="169" t="s">
        <v>624</v>
      </c>
      <c r="O8" s="170" t="s">
        <v>653</v>
      </c>
      <c r="R8" s="169" t="s">
        <v>641</v>
      </c>
      <c r="T8" s="171" t="s">
        <v>642</v>
      </c>
      <c r="U8" s="171"/>
      <c r="W8" s="169" t="s">
        <v>643</v>
      </c>
      <c r="X8" s="169" t="s">
        <v>644</v>
      </c>
      <c r="Y8" s="169" t="s">
        <v>645</v>
      </c>
    </row>
    <row r="9" spans="1:26" s="169" customFormat="1" ht="58.95" customHeight="1" x14ac:dyDescent="0.3">
      <c r="C9" s="169" t="str">
        <f>IFERROR(VLOOKUP(B9,'Control Sheet_Custom'!$A:$B,2,0),"")</f>
        <v/>
      </c>
      <c r="D9" s="169" t="s">
        <v>636</v>
      </c>
      <c r="E9" s="169" t="s">
        <v>654</v>
      </c>
      <c r="F9" s="169" t="s">
        <v>638</v>
      </c>
      <c r="H9" s="169" t="s">
        <v>36</v>
      </c>
      <c r="I9" s="169" t="s">
        <v>639</v>
      </c>
      <c r="J9" s="169" t="s">
        <v>13</v>
      </c>
      <c r="N9" s="169" t="s">
        <v>624</v>
      </c>
      <c r="O9" s="170" t="s">
        <v>655</v>
      </c>
      <c r="R9" s="169" t="s">
        <v>641</v>
      </c>
      <c r="T9" s="171" t="s">
        <v>642</v>
      </c>
      <c r="U9" s="171"/>
      <c r="W9" s="169" t="s">
        <v>643</v>
      </c>
      <c r="X9" s="169" t="s">
        <v>644</v>
      </c>
      <c r="Y9" s="169" t="s">
        <v>645</v>
      </c>
    </row>
    <row r="12" spans="1:26" s="169" customFormat="1" ht="58.95" customHeight="1" x14ac:dyDescent="0.3">
      <c r="C12" s="169" t="str">
        <f>IFERROR(VLOOKUP(B12,'Control Sheet_Custom'!$A:$B,2,0),"")</f>
        <v/>
      </c>
      <c r="D12" s="169" t="s">
        <v>636</v>
      </c>
      <c r="E12" s="169" t="s">
        <v>637</v>
      </c>
      <c r="F12" s="169" t="s">
        <v>638</v>
      </c>
      <c r="H12" s="169" t="s">
        <v>36</v>
      </c>
      <c r="I12" s="169" t="s">
        <v>639</v>
      </c>
      <c r="J12" s="169" t="s">
        <v>13</v>
      </c>
      <c r="N12" s="169" t="s">
        <v>624</v>
      </c>
      <c r="O12" s="170" t="s">
        <v>656</v>
      </c>
      <c r="R12" s="169" t="s">
        <v>641</v>
      </c>
      <c r="T12" s="171" t="s">
        <v>657</v>
      </c>
      <c r="U12" s="171"/>
      <c r="W12" s="169" t="s">
        <v>643</v>
      </c>
      <c r="X12" s="169" t="s">
        <v>644</v>
      </c>
      <c r="Y12" s="169" t="s">
        <v>645</v>
      </c>
    </row>
    <row r="13" spans="1:26" s="169" customFormat="1" ht="58.95" customHeight="1" x14ac:dyDescent="0.3">
      <c r="C13" s="169" t="str">
        <f>IFERROR(VLOOKUP(B13,'Control Sheet_Custom'!$A:$B,2,0),"")</f>
        <v/>
      </c>
      <c r="D13" s="169" t="s">
        <v>636</v>
      </c>
      <c r="E13" s="169" t="s">
        <v>646</v>
      </c>
      <c r="F13" s="169" t="s">
        <v>638</v>
      </c>
      <c r="H13" s="169" t="s">
        <v>36</v>
      </c>
      <c r="I13" s="169" t="s">
        <v>639</v>
      </c>
      <c r="J13" s="169" t="s">
        <v>13</v>
      </c>
      <c r="N13" s="169" t="s">
        <v>624</v>
      </c>
      <c r="O13" s="170" t="s">
        <v>658</v>
      </c>
      <c r="R13" s="169" t="s">
        <v>641</v>
      </c>
      <c r="T13" s="171" t="s">
        <v>657</v>
      </c>
      <c r="U13" s="171"/>
      <c r="W13" s="169" t="s">
        <v>643</v>
      </c>
      <c r="X13" s="169" t="s">
        <v>644</v>
      </c>
      <c r="Y13" s="169" t="s">
        <v>645</v>
      </c>
    </row>
    <row r="14" spans="1:26" s="169" customFormat="1" ht="58.95" customHeight="1" x14ac:dyDescent="0.3">
      <c r="C14" s="169" t="str">
        <f>IFERROR(VLOOKUP(B14,'Control Sheet_Custom'!$A:$B,2,0),"")</f>
        <v/>
      </c>
      <c r="D14" s="169" t="s">
        <v>636</v>
      </c>
      <c r="E14" s="169" t="s">
        <v>648</v>
      </c>
      <c r="F14" s="169" t="s">
        <v>638</v>
      </c>
      <c r="H14" s="169" t="s">
        <v>36</v>
      </c>
      <c r="I14" s="169" t="s">
        <v>639</v>
      </c>
      <c r="J14" s="169" t="s">
        <v>13</v>
      </c>
      <c r="N14" s="169" t="s">
        <v>624</v>
      </c>
      <c r="O14" s="170" t="s">
        <v>659</v>
      </c>
      <c r="R14" s="169" t="s">
        <v>641</v>
      </c>
      <c r="T14" s="171" t="s">
        <v>657</v>
      </c>
      <c r="U14" s="171"/>
      <c r="W14" s="169" t="s">
        <v>643</v>
      </c>
      <c r="X14" s="169" t="s">
        <v>644</v>
      </c>
      <c r="Y14" s="169" t="s">
        <v>645</v>
      </c>
    </row>
    <row r="15" spans="1:26" s="169" customFormat="1" ht="58.95" customHeight="1" x14ac:dyDescent="0.3">
      <c r="C15" s="169" t="str">
        <f>IFERROR(VLOOKUP(B15,'Control Sheet_Custom'!$A:$B,2,0),"")</f>
        <v/>
      </c>
      <c r="D15" s="169" t="s">
        <v>636</v>
      </c>
      <c r="E15" s="169" t="s">
        <v>650</v>
      </c>
      <c r="F15" s="169" t="s">
        <v>638</v>
      </c>
      <c r="H15" s="169" t="s">
        <v>36</v>
      </c>
      <c r="I15" s="169" t="s">
        <v>639</v>
      </c>
      <c r="J15" s="169" t="s">
        <v>13</v>
      </c>
      <c r="N15" s="169" t="s">
        <v>624</v>
      </c>
      <c r="O15" s="170" t="s">
        <v>660</v>
      </c>
      <c r="R15" s="169" t="s">
        <v>641</v>
      </c>
      <c r="T15" s="171" t="s">
        <v>657</v>
      </c>
      <c r="U15" s="171"/>
      <c r="W15" s="169" t="s">
        <v>643</v>
      </c>
      <c r="X15" s="169" t="s">
        <v>644</v>
      </c>
      <c r="Y15" s="169" t="s">
        <v>645</v>
      </c>
    </row>
    <row r="16" spans="1:26" s="169" customFormat="1" ht="58.95" customHeight="1" x14ac:dyDescent="0.3">
      <c r="C16" s="169" t="str">
        <f>IFERROR(VLOOKUP(B16,'Control Sheet_Custom'!$A:$B,2,0),"")</f>
        <v/>
      </c>
      <c r="D16" s="169" t="s">
        <v>636</v>
      </c>
      <c r="E16" s="169" t="s">
        <v>652</v>
      </c>
      <c r="F16" s="169" t="s">
        <v>638</v>
      </c>
      <c r="H16" s="169" t="s">
        <v>36</v>
      </c>
      <c r="I16" s="169" t="s">
        <v>639</v>
      </c>
      <c r="J16" s="169" t="s">
        <v>13</v>
      </c>
      <c r="N16" s="169" t="s">
        <v>624</v>
      </c>
      <c r="O16" s="170" t="s">
        <v>661</v>
      </c>
      <c r="R16" s="169" t="s">
        <v>641</v>
      </c>
      <c r="T16" s="171" t="s">
        <v>657</v>
      </c>
      <c r="U16" s="171"/>
      <c r="W16" s="169" t="s">
        <v>643</v>
      </c>
      <c r="X16" s="169" t="s">
        <v>644</v>
      </c>
      <c r="Y16" s="169" t="s">
        <v>645</v>
      </c>
    </row>
    <row r="17" spans="3:25" s="169" customFormat="1" ht="58.95" customHeight="1" x14ac:dyDescent="0.3">
      <c r="C17" s="169" t="str">
        <f>IFERROR(VLOOKUP(B17,'Control Sheet_Custom'!$A:$B,2,0),"")</f>
        <v/>
      </c>
      <c r="D17" s="169" t="s">
        <v>636</v>
      </c>
      <c r="E17" s="169" t="s">
        <v>654</v>
      </c>
      <c r="F17" s="169" t="s">
        <v>638</v>
      </c>
      <c r="H17" s="169" t="s">
        <v>36</v>
      </c>
      <c r="I17" s="169" t="s">
        <v>639</v>
      </c>
      <c r="J17" s="169" t="s">
        <v>13</v>
      </c>
      <c r="N17" s="169" t="s">
        <v>624</v>
      </c>
      <c r="O17" s="170" t="s">
        <v>662</v>
      </c>
      <c r="R17" s="169" t="s">
        <v>641</v>
      </c>
      <c r="T17" s="171" t="s">
        <v>657</v>
      </c>
      <c r="U17" s="171"/>
      <c r="W17" s="169" t="s">
        <v>643</v>
      </c>
      <c r="X17" s="169" t="s">
        <v>644</v>
      </c>
      <c r="Y17" s="169" t="s">
        <v>645</v>
      </c>
    </row>
    <row r="18" spans="3:25" s="169" customFormat="1" ht="58.95" customHeight="1" x14ac:dyDescent="0.3">
      <c r="C18" s="169" t="str">
        <f>IFERROR(VLOOKUP(B18,'Control Sheet_Custom'!$A:$B,2,0),"")</f>
        <v/>
      </c>
      <c r="D18" s="169" t="s">
        <v>636</v>
      </c>
      <c r="E18" s="169" t="s">
        <v>663</v>
      </c>
      <c r="F18" s="169" t="s">
        <v>638</v>
      </c>
      <c r="H18" s="169" t="s">
        <v>36</v>
      </c>
      <c r="I18" s="169" t="s">
        <v>639</v>
      </c>
      <c r="J18" s="169" t="s">
        <v>13</v>
      </c>
      <c r="N18" s="169" t="s">
        <v>624</v>
      </c>
      <c r="O18" s="170" t="s">
        <v>664</v>
      </c>
      <c r="R18" s="169" t="s">
        <v>641</v>
      </c>
      <c r="T18" s="171" t="s">
        <v>657</v>
      </c>
      <c r="U18" s="171"/>
      <c r="W18" s="169" t="s">
        <v>643</v>
      </c>
      <c r="X18" s="169" t="s">
        <v>644</v>
      </c>
      <c r="Y18" s="169" t="s">
        <v>645</v>
      </c>
    </row>
    <row r="19" spans="3:25" s="169" customFormat="1" ht="58.95" customHeight="1" x14ac:dyDescent="0.3">
      <c r="C19" s="169" t="str">
        <f>IFERROR(VLOOKUP(B19,'Control Sheet_Custom'!$A:$B,2,0),"")</f>
        <v/>
      </c>
      <c r="D19" s="169" t="s">
        <v>636</v>
      </c>
      <c r="E19" s="169" t="s">
        <v>665</v>
      </c>
      <c r="F19" s="169" t="s">
        <v>638</v>
      </c>
      <c r="H19" s="169" t="s">
        <v>36</v>
      </c>
      <c r="I19" s="169" t="s">
        <v>639</v>
      </c>
      <c r="J19" s="169" t="s">
        <v>13</v>
      </c>
      <c r="N19" s="169" t="s">
        <v>624</v>
      </c>
      <c r="O19" s="170" t="s">
        <v>666</v>
      </c>
      <c r="R19" s="169" t="s">
        <v>641</v>
      </c>
      <c r="T19" s="171" t="s">
        <v>657</v>
      </c>
      <c r="U19" s="171"/>
      <c r="W19" s="169" t="s">
        <v>643</v>
      </c>
      <c r="X19" s="169" t="s">
        <v>644</v>
      </c>
      <c r="Y19" s="169" t="s">
        <v>645</v>
      </c>
    </row>
    <row r="20" spans="3:25" s="169" customFormat="1" ht="58.95" customHeight="1" x14ac:dyDescent="0.3">
      <c r="C20" s="169" t="str">
        <f>IFERROR(VLOOKUP(B20,'Control Sheet_Custom'!$A:$B,2,0),"")</f>
        <v/>
      </c>
      <c r="D20" s="169" t="s">
        <v>636</v>
      </c>
      <c r="E20" s="169" t="s">
        <v>667</v>
      </c>
      <c r="F20" s="169" t="s">
        <v>638</v>
      </c>
      <c r="H20" s="169" t="s">
        <v>36</v>
      </c>
      <c r="I20" s="169" t="s">
        <v>639</v>
      </c>
      <c r="J20" s="169" t="s">
        <v>13</v>
      </c>
      <c r="N20" s="169" t="s">
        <v>624</v>
      </c>
      <c r="O20" s="170" t="s">
        <v>668</v>
      </c>
      <c r="R20" s="169" t="s">
        <v>641</v>
      </c>
      <c r="T20" s="171" t="s">
        <v>657</v>
      </c>
      <c r="U20" s="171"/>
      <c r="W20" s="169" t="s">
        <v>643</v>
      </c>
      <c r="X20" s="169" t="s">
        <v>644</v>
      </c>
      <c r="Y20" s="169" t="s">
        <v>645</v>
      </c>
    </row>
    <row r="21" spans="3:25" s="169" customFormat="1" ht="58.95" customHeight="1" x14ac:dyDescent="0.3">
      <c r="C21" s="169" t="str">
        <f>IFERROR(VLOOKUP(B21,'Control Sheet_Custom'!$A:$B,2,0),"")</f>
        <v/>
      </c>
      <c r="D21" s="169" t="s">
        <v>636</v>
      </c>
      <c r="E21" s="169" t="s">
        <v>669</v>
      </c>
      <c r="F21" s="169" t="s">
        <v>638</v>
      </c>
      <c r="H21" s="169" t="s">
        <v>36</v>
      </c>
      <c r="I21" s="169" t="s">
        <v>639</v>
      </c>
      <c r="J21" s="169" t="s">
        <v>13</v>
      </c>
      <c r="N21" s="169" t="s">
        <v>624</v>
      </c>
      <c r="O21" s="170" t="s">
        <v>670</v>
      </c>
      <c r="R21" s="169" t="s">
        <v>641</v>
      </c>
      <c r="T21" s="171" t="s">
        <v>657</v>
      </c>
      <c r="U21" s="171"/>
      <c r="W21" s="169" t="s">
        <v>643</v>
      </c>
      <c r="X21" s="169" t="s">
        <v>644</v>
      </c>
      <c r="Y21" s="169" t="s">
        <v>645</v>
      </c>
    </row>
    <row r="22" spans="3:25" s="169" customFormat="1" ht="58.95" customHeight="1" x14ac:dyDescent="0.3">
      <c r="C22" s="169" t="str">
        <f>IFERROR(VLOOKUP(B22,'Control Sheet_Custom'!$A:$B,2,0),"")</f>
        <v/>
      </c>
      <c r="D22" s="169" t="s">
        <v>636</v>
      </c>
      <c r="E22" s="169" t="s">
        <v>671</v>
      </c>
      <c r="F22" s="169" t="s">
        <v>638</v>
      </c>
      <c r="H22" s="169" t="s">
        <v>36</v>
      </c>
      <c r="I22" s="169" t="s">
        <v>639</v>
      </c>
      <c r="J22" s="169" t="s">
        <v>13</v>
      </c>
      <c r="N22" s="169" t="s">
        <v>624</v>
      </c>
      <c r="O22" s="170" t="s">
        <v>672</v>
      </c>
      <c r="R22" s="169" t="s">
        <v>641</v>
      </c>
      <c r="T22" s="171" t="s">
        <v>657</v>
      </c>
      <c r="U22" s="171"/>
      <c r="W22" s="169" t="s">
        <v>643</v>
      </c>
      <c r="X22" s="169" t="s">
        <v>644</v>
      </c>
      <c r="Y22" s="169" t="s">
        <v>645</v>
      </c>
    </row>
    <row r="23" spans="3:25" s="169" customFormat="1" ht="58.95" customHeight="1" x14ac:dyDescent="0.3">
      <c r="C23" s="169" t="str">
        <f>IFERROR(VLOOKUP(B23,'Control Sheet_Custom'!$A:$B,2,0),"")</f>
        <v/>
      </c>
      <c r="D23" s="169" t="s">
        <v>636</v>
      </c>
      <c r="E23" s="169" t="s">
        <v>673</v>
      </c>
      <c r="F23" s="169" t="s">
        <v>638</v>
      </c>
      <c r="H23" s="169" t="s">
        <v>36</v>
      </c>
      <c r="I23" s="169" t="s">
        <v>639</v>
      </c>
      <c r="J23" s="169" t="s">
        <v>13</v>
      </c>
      <c r="N23" s="169" t="s">
        <v>624</v>
      </c>
      <c r="O23" s="170" t="s">
        <v>674</v>
      </c>
      <c r="R23" s="169" t="s">
        <v>641</v>
      </c>
      <c r="T23" s="171" t="s">
        <v>657</v>
      </c>
      <c r="U23" s="171"/>
      <c r="W23" s="169" t="s">
        <v>643</v>
      </c>
      <c r="X23" s="169" t="s">
        <v>644</v>
      </c>
      <c r="Y23" s="169" t="s">
        <v>645</v>
      </c>
    </row>
    <row r="25" spans="3:25" s="172" customFormat="1" ht="61.5" customHeight="1" x14ac:dyDescent="0.3">
      <c r="C25" s="172" t="str">
        <f>IFERROR(VLOOKUP(B25,'Control Sheet_Custom'!$A:$B,2,0),"")</f>
        <v/>
      </c>
      <c r="D25" s="172" t="s">
        <v>636</v>
      </c>
      <c r="E25" s="172" t="s">
        <v>637</v>
      </c>
      <c r="F25" s="172" t="s">
        <v>638</v>
      </c>
      <c r="H25" s="172" t="s">
        <v>36</v>
      </c>
      <c r="I25" s="172" t="s">
        <v>639</v>
      </c>
      <c r="J25" s="172" t="s">
        <v>13</v>
      </c>
      <c r="N25" s="172" t="s">
        <v>624</v>
      </c>
      <c r="O25" s="173" t="s">
        <v>675</v>
      </c>
      <c r="R25" s="172" t="s">
        <v>641</v>
      </c>
      <c r="T25" s="174" t="s">
        <v>676</v>
      </c>
      <c r="U25" s="174"/>
      <c r="X25" s="172" t="s">
        <v>677</v>
      </c>
      <c r="Y25" s="172" t="s">
        <v>645</v>
      </c>
    </row>
    <row r="26" spans="3:25" s="172" customFormat="1" ht="58.95" customHeight="1" x14ac:dyDescent="0.3">
      <c r="C26" s="172" t="str">
        <f>IFERROR(VLOOKUP(B26,'Control Sheet_Custom'!$A:$B,2,0),"")</f>
        <v/>
      </c>
      <c r="D26" s="172" t="s">
        <v>636</v>
      </c>
      <c r="E26" s="172" t="s">
        <v>646</v>
      </c>
      <c r="F26" s="172" t="s">
        <v>638</v>
      </c>
      <c r="H26" s="172" t="s">
        <v>36</v>
      </c>
      <c r="I26" s="172" t="s">
        <v>639</v>
      </c>
      <c r="J26" s="172" t="s">
        <v>13</v>
      </c>
      <c r="N26" s="172" t="s">
        <v>624</v>
      </c>
      <c r="O26" s="173" t="s">
        <v>678</v>
      </c>
      <c r="R26" s="172" t="s">
        <v>641</v>
      </c>
      <c r="T26" s="174" t="s">
        <v>676</v>
      </c>
      <c r="U26" s="174"/>
      <c r="X26" s="172" t="s">
        <v>644</v>
      </c>
      <c r="Y26" s="172" t="s">
        <v>645</v>
      </c>
    </row>
    <row r="27" spans="3:25" s="172" customFormat="1" ht="58.95" customHeight="1" x14ac:dyDescent="0.3">
      <c r="C27" s="172" t="str">
        <f>IFERROR(VLOOKUP(B27,'Control Sheet_Custom'!$A:$B,2,0),"")</f>
        <v/>
      </c>
      <c r="D27" s="172" t="s">
        <v>636</v>
      </c>
      <c r="E27" s="172" t="s">
        <v>679</v>
      </c>
      <c r="F27" s="172" t="s">
        <v>638</v>
      </c>
      <c r="H27" s="172" t="s">
        <v>36</v>
      </c>
      <c r="I27" s="172" t="s">
        <v>639</v>
      </c>
      <c r="J27" s="172" t="s">
        <v>13</v>
      </c>
      <c r="N27" s="172" t="s">
        <v>624</v>
      </c>
      <c r="O27" s="173" t="s">
        <v>680</v>
      </c>
      <c r="R27" s="172" t="s">
        <v>641</v>
      </c>
      <c r="T27" s="174" t="s">
        <v>681</v>
      </c>
      <c r="U27" s="174"/>
      <c r="X27" s="172" t="s">
        <v>644</v>
      </c>
      <c r="Y27" s="172" t="s">
        <v>645</v>
      </c>
    </row>
    <row r="28" spans="3:25" s="172" customFormat="1" ht="58.95" customHeight="1" x14ac:dyDescent="0.3">
      <c r="C28" s="172" t="str">
        <f>IFERROR(VLOOKUP(B28,'Control Sheet_Custom'!$A:$B,2,0),"")</f>
        <v/>
      </c>
      <c r="D28" s="172" t="s">
        <v>636</v>
      </c>
      <c r="E28" s="172" t="s">
        <v>682</v>
      </c>
      <c r="F28" s="172" t="s">
        <v>638</v>
      </c>
      <c r="H28" s="172" t="s">
        <v>36</v>
      </c>
      <c r="I28" s="172" t="s">
        <v>639</v>
      </c>
      <c r="J28" s="172" t="s">
        <v>13</v>
      </c>
      <c r="N28" s="172" t="s">
        <v>624</v>
      </c>
      <c r="O28" s="173" t="s">
        <v>683</v>
      </c>
      <c r="R28" s="172" t="s">
        <v>641</v>
      </c>
      <c r="T28" s="174" t="s">
        <v>681</v>
      </c>
      <c r="U28" s="174"/>
      <c r="X28" s="172" t="s">
        <v>644</v>
      </c>
      <c r="Y28" s="172" t="s">
        <v>645</v>
      </c>
    </row>
    <row r="30" spans="3:25" s="172" customFormat="1" ht="61.5" customHeight="1" x14ac:dyDescent="0.3">
      <c r="C30" s="172" t="str">
        <f>IFERROR(VLOOKUP(B30,'Control Sheet_Custom'!$A:$B,2,0),"")</f>
        <v/>
      </c>
      <c r="D30" s="172" t="s">
        <v>636</v>
      </c>
      <c r="E30" s="172" t="s">
        <v>637</v>
      </c>
      <c r="F30" s="172" t="s">
        <v>638</v>
      </c>
      <c r="H30" s="172" t="s">
        <v>36</v>
      </c>
      <c r="I30" s="172" t="s">
        <v>639</v>
      </c>
      <c r="J30" s="172" t="s">
        <v>13</v>
      </c>
      <c r="N30" s="172" t="s">
        <v>624</v>
      </c>
      <c r="O30" s="173" t="s">
        <v>684</v>
      </c>
      <c r="R30" s="172" t="s">
        <v>641</v>
      </c>
      <c r="T30" s="174" t="s">
        <v>676</v>
      </c>
      <c r="U30" s="174"/>
      <c r="X30" s="172" t="s">
        <v>644</v>
      </c>
      <c r="Y30" s="172" t="s">
        <v>645</v>
      </c>
    </row>
    <row r="31" spans="3:25" s="172" customFormat="1" ht="58.95" customHeight="1" x14ac:dyDescent="0.3">
      <c r="C31" s="172" t="str">
        <f>IFERROR(VLOOKUP(B31,'Control Sheet_Custom'!$A:$B,2,0),"")</f>
        <v/>
      </c>
      <c r="D31" s="172" t="s">
        <v>636</v>
      </c>
      <c r="E31" s="172" t="s">
        <v>646</v>
      </c>
      <c r="F31" s="172" t="s">
        <v>638</v>
      </c>
      <c r="H31" s="172" t="s">
        <v>36</v>
      </c>
      <c r="I31" s="172" t="s">
        <v>639</v>
      </c>
      <c r="J31" s="172" t="s">
        <v>13</v>
      </c>
      <c r="N31" s="172" t="s">
        <v>624</v>
      </c>
      <c r="O31" s="173" t="s">
        <v>685</v>
      </c>
      <c r="R31" s="172" t="s">
        <v>641</v>
      </c>
      <c r="T31" s="174" t="s">
        <v>676</v>
      </c>
      <c r="U31" s="174"/>
      <c r="X31" s="172" t="s">
        <v>644</v>
      </c>
      <c r="Y31" s="172" t="s">
        <v>645</v>
      </c>
    </row>
    <row r="32" spans="3:25" s="172" customFormat="1" ht="58.95" customHeight="1" x14ac:dyDescent="0.3">
      <c r="C32" s="172" t="str">
        <f>IFERROR(VLOOKUP(B32,'Control Sheet_Custom'!$A:$B,2,0),"")</f>
        <v/>
      </c>
      <c r="D32" s="172" t="s">
        <v>636</v>
      </c>
      <c r="E32" s="172" t="s">
        <v>648</v>
      </c>
      <c r="F32" s="172" t="s">
        <v>638</v>
      </c>
      <c r="H32" s="172" t="s">
        <v>36</v>
      </c>
      <c r="I32" s="172" t="s">
        <v>639</v>
      </c>
      <c r="J32" s="172" t="s">
        <v>13</v>
      </c>
      <c r="N32" s="172" t="s">
        <v>624</v>
      </c>
      <c r="O32" s="173" t="s">
        <v>686</v>
      </c>
      <c r="R32" s="172" t="s">
        <v>641</v>
      </c>
      <c r="T32" s="174" t="s">
        <v>676</v>
      </c>
      <c r="U32" s="174"/>
      <c r="X32" s="172" t="s">
        <v>644</v>
      </c>
      <c r="Y32" s="172" t="s">
        <v>645</v>
      </c>
    </row>
    <row r="33" spans="1:25" s="172" customFormat="1" ht="58.95" customHeight="1" x14ac:dyDescent="0.3">
      <c r="C33" s="172" t="str">
        <f>IFERROR(VLOOKUP(B33,'Control Sheet_Custom'!$A:$B,2,0),"")</f>
        <v/>
      </c>
      <c r="D33" s="172" t="s">
        <v>636</v>
      </c>
      <c r="E33" s="172" t="s">
        <v>650</v>
      </c>
      <c r="F33" s="172" t="s">
        <v>638</v>
      </c>
      <c r="H33" s="172" t="s">
        <v>36</v>
      </c>
      <c r="I33" s="172" t="s">
        <v>639</v>
      </c>
      <c r="J33" s="172" t="s">
        <v>13</v>
      </c>
      <c r="N33" s="172" t="s">
        <v>624</v>
      </c>
      <c r="O33" s="173" t="s">
        <v>687</v>
      </c>
      <c r="R33" s="172" t="s">
        <v>641</v>
      </c>
      <c r="T33" s="174" t="s">
        <v>676</v>
      </c>
      <c r="U33" s="174"/>
      <c r="X33" s="172" t="s">
        <v>644</v>
      </c>
      <c r="Y33" s="172" t="s">
        <v>645</v>
      </c>
    </row>
    <row r="34" spans="1:25" s="172" customFormat="1" ht="58.95" customHeight="1" x14ac:dyDescent="0.3">
      <c r="C34" s="172" t="str">
        <f>IFERROR(VLOOKUP(B34,'Control Sheet_Custom'!$A:$B,2,0),"")</f>
        <v/>
      </c>
      <c r="D34" s="172" t="s">
        <v>636</v>
      </c>
      <c r="E34" s="172" t="s">
        <v>679</v>
      </c>
      <c r="F34" s="172" t="s">
        <v>638</v>
      </c>
      <c r="H34" s="172" t="s">
        <v>36</v>
      </c>
      <c r="I34" s="172" t="s">
        <v>639</v>
      </c>
      <c r="J34" s="172" t="s">
        <v>13</v>
      </c>
      <c r="N34" s="172" t="s">
        <v>624</v>
      </c>
      <c r="O34" s="173" t="s">
        <v>688</v>
      </c>
      <c r="R34" s="172" t="s">
        <v>641</v>
      </c>
      <c r="T34" s="174" t="s">
        <v>681</v>
      </c>
      <c r="U34" s="174"/>
      <c r="X34" s="172" t="s">
        <v>644</v>
      </c>
      <c r="Y34" s="172" t="s">
        <v>645</v>
      </c>
    </row>
    <row r="35" spans="1:25" s="172" customFormat="1" ht="58.95" customHeight="1" x14ac:dyDescent="0.3">
      <c r="C35" s="172" t="str">
        <f>IFERROR(VLOOKUP(B35,'Control Sheet_Custom'!$A:$B,2,0),"")</f>
        <v/>
      </c>
      <c r="D35" s="172" t="s">
        <v>636</v>
      </c>
      <c r="E35" s="172" t="s">
        <v>682</v>
      </c>
      <c r="F35" s="172" t="s">
        <v>638</v>
      </c>
      <c r="H35" s="172" t="s">
        <v>36</v>
      </c>
      <c r="I35" s="172" t="s">
        <v>639</v>
      </c>
      <c r="J35" s="172" t="s">
        <v>13</v>
      </c>
      <c r="N35" s="172" t="s">
        <v>624</v>
      </c>
      <c r="O35" s="173" t="s">
        <v>689</v>
      </c>
      <c r="R35" s="172" t="s">
        <v>641</v>
      </c>
      <c r="T35" s="174" t="s">
        <v>681</v>
      </c>
      <c r="U35" s="174"/>
      <c r="X35" s="172" t="s">
        <v>644</v>
      </c>
      <c r="Y35" s="172" t="s">
        <v>645</v>
      </c>
    </row>
    <row r="36" spans="1:25" s="172" customFormat="1" ht="58.95" customHeight="1" x14ac:dyDescent="0.3">
      <c r="C36" s="172" t="str">
        <f>IFERROR(VLOOKUP(B36,'Control Sheet_Custom'!$A:$B,2,0),"")</f>
        <v/>
      </c>
      <c r="D36" s="172" t="s">
        <v>636</v>
      </c>
      <c r="E36" s="172" t="s">
        <v>690</v>
      </c>
      <c r="F36" s="172" t="s">
        <v>638</v>
      </c>
      <c r="H36" s="172" t="s">
        <v>36</v>
      </c>
      <c r="I36" s="172" t="s">
        <v>639</v>
      </c>
      <c r="J36" s="172" t="s">
        <v>13</v>
      </c>
      <c r="N36" s="172" t="s">
        <v>624</v>
      </c>
      <c r="O36" s="173" t="s">
        <v>691</v>
      </c>
      <c r="R36" s="172" t="s">
        <v>641</v>
      </c>
      <c r="T36" s="174" t="s">
        <v>681</v>
      </c>
      <c r="U36" s="174"/>
      <c r="X36" s="172" t="s">
        <v>644</v>
      </c>
      <c r="Y36" s="172" t="s">
        <v>645</v>
      </c>
    </row>
    <row r="37" spans="1:25" s="172" customFormat="1" ht="58.95" customHeight="1" x14ac:dyDescent="0.3">
      <c r="C37" s="172" t="str">
        <f>IFERROR(VLOOKUP(B37,'Control Sheet_Custom'!$A:$B,2,0),"")</f>
        <v/>
      </c>
      <c r="D37" s="172" t="s">
        <v>636</v>
      </c>
      <c r="E37" s="172" t="s">
        <v>692</v>
      </c>
      <c r="F37" s="172" t="s">
        <v>638</v>
      </c>
      <c r="H37" s="172" t="s">
        <v>36</v>
      </c>
      <c r="I37" s="172" t="s">
        <v>639</v>
      </c>
      <c r="J37" s="172" t="s">
        <v>13</v>
      </c>
      <c r="N37" s="172" t="s">
        <v>624</v>
      </c>
      <c r="O37" s="173" t="s">
        <v>693</v>
      </c>
      <c r="R37" s="172" t="s">
        <v>641</v>
      </c>
      <c r="T37" s="174" t="s">
        <v>681</v>
      </c>
      <c r="U37" s="174"/>
      <c r="X37" s="172" t="s">
        <v>644</v>
      </c>
      <c r="Y37" s="172" t="s">
        <v>645</v>
      </c>
    </row>
    <row r="41" spans="1:25" s="166" customFormat="1" x14ac:dyDescent="0.3"/>
    <row r="46" spans="1:25" s="154" customFormat="1" ht="61.5" customHeight="1" x14ac:dyDescent="0.3">
      <c r="C46" s="154" t="str">
        <f>IFERROR(VLOOKUP(B46,'Control Sheet_Custom'!$A:$B,2,0),"")</f>
        <v/>
      </c>
      <c r="D46" s="154" t="s">
        <v>636</v>
      </c>
      <c r="E46" s="154" t="s">
        <v>637</v>
      </c>
      <c r="F46" s="154" t="s">
        <v>638</v>
      </c>
      <c r="H46" s="154" t="s">
        <v>36</v>
      </c>
      <c r="I46" s="154" t="s">
        <v>639</v>
      </c>
      <c r="J46" s="154" t="s">
        <v>13</v>
      </c>
      <c r="N46" s="154" t="s">
        <v>624</v>
      </c>
      <c r="O46" s="155" t="s">
        <v>694</v>
      </c>
      <c r="R46" s="154" t="s">
        <v>641</v>
      </c>
      <c r="T46" s="156" t="s">
        <v>695</v>
      </c>
      <c r="U46" s="156"/>
      <c r="X46" s="154" t="s">
        <v>696</v>
      </c>
      <c r="Y46" s="154" t="s">
        <v>645</v>
      </c>
    </row>
    <row r="47" spans="1:25" s="108" customFormat="1" ht="58.95" customHeight="1" x14ac:dyDescent="0.3">
      <c r="A47" s="154"/>
      <c r="B47" s="154"/>
      <c r="C47" s="108" t="str">
        <f>IFERROR(VLOOKUP(B47,'Control Sheet_Custom'!$A:$B,2,0),"")</f>
        <v/>
      </c>
      <c r="D47" s="108" t="s">
        <v>636</v>
      </c>
      <c r="E47" s="154" t="s">
        <v>646</v>
      </c>
      <c r="F47" s="108" t="s">
        <v>638</v>
      </c>
      <c r="H47" s="108" t="s">
        <v>36</v>
      </c>
      <c r="I47" s="108" t="s">
        <v>639</v>
      </c>
      <c r="J47" s="108" t="s">
        <v>13</v>
      </c>
      <c r="N47" s="154" t="s">
        <v>624</v>
      </c>
      <c r="O47" s="155" t="s">
        <v>697</v>
      </c>
      <c r="R47" s="108" t="s">
        <v>641</v>
      </c>
      <c r="T47" s="115" t="s">
        <v>695</v>
      </c>
      <c r="U47" s="115"/>
      <c r="X47" s="154" t="s">
        <v>696</v>
      </c>
      <c r="Y47" s="108" t="s">
        <v>645</v>
      </c>
    </row>
    <row r="48" spans="1:25" s="108" customFormat="1" ht="58.95" customHeight="1" x14ac:dyDescent="0.3">
      <c r="A48" s="154"/>
      <c r="B48" s="154"/>
      <c r="C48" s="108" t="str">
        <f>IFERROR(VLOOKUP(B48,'Control Sheet_Custom'!$A:$B,2,0),"")</f>
        <v/>
      </c>
      <c r="D48" s="108" t="s">
        <v>636</v>
      </c>
      <c r="E48" s="154" t="s">
        <v>648</v>
      </c>
      <c r="F48" s="108" t="s">
        <v>638</v>
      </c>
      <c r="H48" s="108" t="s">
        <v>36</v>
      </c>
      <c r="I48" s="108" t="s">
        <v>639</v>
      </c>
      <c r="J48" s="108" t="s">
        <v>13</v>
      </c>
      <c r="N48" s="154" t="s">
        <v>624</v>
      </c>
      <c r="O48" s="155" t="s">
        <v>698</v>
      </c>
      <c r="R48" s="108" t="s">
        <v>641</v>
      </c>
      <c r="T48" s="115" t="s">
        <v>695</v>
      </c>
      <c r="U48" s="115"/>
      <c r="X48" s="154" t="s">
        <v>696</v>
      </c>
      <c r="Y48" s="108" t="s">
        <v>645</v>
      </c>
    </row>
    <row r="49" spans="1:25" s="108" customFormat="1" ht="58.95" customHeight="1" x14ac:dyDescent="0.3">
      <c r="A49" s="154"/>
      <c r="B49" s="154"/>
      <c r="C49" s="108" t="str">
        <f>IFERROR(VLOOKUP(B49,'Control Sheet_Custom'!$A:$B,2,0),"")</f>
        <v/>
      </c>
      <c r="D49" s="108" t="s">
        <v>636</v>
      </c>
      <c r="E49" s="154" t="s">
        <v>650</v>
      </c>
      <c r="F49" s="108" t="s">
        <v>638</v>
      </c>
      <c r="H49" s="108" t="s">
        <v>36</v>
      </c>
      <c r="I49" s="108" t="s">
        <v>639</v>
      </c>
      <c r="J49" s="108" t="s">
        <v>13</v>
      </c>
      <c r="N49" s="154" t="s">
        <v>624</v>
      </c>
      <c r="O49" s="155" t="s">
        <v>699</v>
      </c>
      <c r="R49" s="108" t="s">
        <v>641</v>
      </c>
      <c r="T49" s="115" t="s">
        <v>695</v>
      </c>
      <c r="U49" s="115"/>
      <c r="X49" s="154" t="s">
        <v>696</v>
      </c>
      <c r="Y49" s="108" t="s">
        <v>645</v>
      </c>
    </row>
    <row r="50" spans="1:25" s="108" customFormat="1" ht="58.95" customHeight="1" x14ac:dyDescent="0.3">
      <c r="A50" s="154"/>
      <c r="B50" s="154"/>
      <c r="C50" s="108" t="str">
        <f>IFERROR(VLOOKUP(B50,'Control Sheet_Custom'!$A:$B,2,0),"")</f>
        <v/>
      </c>
      <c r="D50" s="108" t="s">
        <v>636</v>
      </c>
      <c r="E50" s="154" t="s">
        <v>652</v>
      </c>
      <c r="F50" s="108" t="s">
        <v>638</v>
      </c>
      <c r="H50" s="108" t="s">
        <v>36</v>
      </c>
      <c r="I50" s="108" t="s">
        <v>639</v>
      </c>
      <c r="J50" s="108" t="s">
        <v>13</v>
      </c>
      <c r="N50" s="154" t="s">
        <v>624</v>
      </c>
      <c r="O50" s="155" t="s">
        <v>700</v>
      </c>
      <c r="R50" s="108" t="s">
        <v>641</v>
      </c>
      <c r="T50" s="115" t="s">
        <v>695</v>
      </c>
      <c r="U50" s="115"/>
      <c r="X50" s="154" t="s">
        <v>696</v>
      </c>
      <c r="Y50" s="108" t="s">
        <v>645</v>
      </c>
    </row>
    <row r="52" spans="1:25" s="169" customFormat="1" ht="61.5" customHeight="1" x14ac:dyDescent="0.3">
      <c r="C52" s="169" t="str">
        <f>IFERROR(VLOOKUP(B52,'Control Sheet_Custom'!$A:$B,2,0),"")</f>
        <v/>
      </c>
      <c r="D52" s="169" t="s">
        <v>636</v>
      </c>
      <c r="E52" s="169" t="s">
        <v>637</v>
      </c>
      <c r="F52" s="169" t="s">
        <v>638</v>
      </c>
      <c r="H52" s="169" t="s">
        <v>36</v>
      </c>
      <c r="I52" s="169" t="s">
        <v>639</v>
      </c>
      <c r="J52" s="169" t="s">
        <v>13</v>
      </c>
      <c r="N52" s="169" t="s">
        <v>624</v>
      </c>
      <c r="O52" s="170" t="s">
        <v>675</v>
      </c>
      <c r="R52" s="169" t="s">
        <v>641</v>
      </c>
      <c r="T52" s="171" t="s">
        <v>676</v>
      </c>
      <c r="U52" s="171"/>
      <c r="X52" s="169" t="s">
        <v>677</v>
      </c>
      <c r="Y52" s="169" t="s">
        <v>645</v>
      </c>
    </row>
    <row r="53" spans="1:25" s="169" customFormat="1" ht="58.95" customHeight="1" x14ac:dyDescent="0.3">
      <c r="C53" s="169" t="str">
        <f>IFERROR(VLOOKUP(B53,'Control Sheet_Custom'!$A:$B,2,0),"")</f>
        <v/>
      </c>
      <c r="D53" s="169" t="s">
        <v>636</v>
      </c>
      <c r="E53" s="169" t="s">
        <v>646</v>
      </c>
      <c r="F53" s="169" t="s">
        <v>638</v>
      </c>
      <c r="H53" s="169" t="s">
        <v>36</v>
      </c>
      <c r="I53" s="169" t="s">
        <v>639</v>
      </c>
      <c r="J53" s="169" t="s">
        <v>13</v>
      </c>
      <c r="N53" s="169" t="s">
        <v>624</v>
      </c>
      <c r="O53" s="170" t="s">
        <v>678</v>
      </c>
      <c r="R53" s="169" t="s">
        <v>641</v>
      </c>
      <c r="T53" s="171" t="s">
        <v>676</v>
      </c>
      <c r="U53" s="171"/>
      <c r="X53" s="169" t="s">
        <v>677</v>
      </c>
      <c r="Y53" s="169" t="s">
        <v>645</v>
      </c>
    </row>
    <row r="54" spans="1:25" s="169" customFormat="1" ht="58.95" customHeight="1" x14ac:dyDescent="0.3">
      <c r="C54" s="169" t="str">
        <f>IFERROR(VLOOKUP(B54,'Control Sheet_Custom'!$A:$B,2,0),"")</f>
        <v/>
      </c>
      <c r="D54" s="169" t="s">
        <v>636</v>
      </c>
      <c r="E54" s="169" t="s">
        <v>648</v>
      </c>
      <c r="F54" s="169" t="s">
        <v>638</v>
      </c>
      <c r="H54" s="169" t="s">
        <v>36</v>
      </c>
      <c r="I54" s="169" t="s">
        <v>639</v>
      </c>
      <c r="J54" s="169" t="s">
        <v>13</v>
      </c>
      <c r="N54" s="169" t="s">
        <v>624</v>
      </c>
      <c r="O54" s="170" t="s">
        <v>684</v>
      </c>
      <c r="R54" s="169" t="s">
        <v>641</v>
      </c>
      <c r="T54" s="171" t="s">
        <v>676</v>
      </c>
      <c r="U54" s="171"/>
      <c r="X54" s="169" t="s">
        <v>677</v>
      </c>
      <c r="Y54" s="169" t="s">
        <v>645</v>
      </c>
    </row>
    <row r="55" spans="1:25" s="169" customFormat="1" ht="58.95" customHeight="1" x14ac:dyDescent="0.3">
      <c r="C55" s="169" t="str">
        <f>IFERROR(VLOOKUP(B55,'Control Sheet_Custom'!$A:$B,2,0),"")</f>
        <v/>
      </c>
      <c r="D55" s="169" t="s">
        <v>636</v>
      </c>
      <c r="E55" s="169" t="s">
        <v>650</v>
      </c>
      <c r="F55" s="169" t="s">
        <v>638</v>
      </c>
      <c r="H55" s="169" t="s">
        <v>36</v>
      </c>
      <c r="I55" s="169" t="s">
        <v>639</v>
      </c>
      <c r="J55" s="169" t="s">
        <v>13</v>
      </c>
      <c r="N55" s="169" t="s">
        <v>624</v>
      </c>
      <c r="O55" s="170" t="s">
        <v>685</v>
      </c>
      <c r="R55" s="169" t="s">
        <v>641</v>
      </c>
      <c r="T55" s="171" t="s">
        <v>676</v>
      </c>
      <c r="U55" s="171"/>
      <c r="X55" s="169" t="s">
        <v>677</v>
      </c>
      <c r="Y55" s="169" t="s">
        <v>645</v>
      </c>
    </row>
    <row r="56" spans="1:25" s="169" customFormat="1" ht="58.95" customHeight="1" x14ac:dyDescent="0.3">
      <c r="C56" s="169" t="str">
        <f>IFERROR(VLOOKUP(B56,'Control Sheet_Custom'!$A:$B,2,0),"")</f>
        <v/>
      </c>
      <c r="D56" s="169" t="s">
        <v>636</v>
      </c>
      <c r="E56" s="169" t="s">
        <v>652</v>
      </c>
      <c r="F56" s="169" t="s">
        <v>638</v>
      </c>
      <c r="H56" s="169" t="s">
        <v>36</v>
      </c>
      <c r="I56" s="169" t="s">
        <v>639</v>
      </c>
      <c r="J56" s="169" t="s">
        <v>13</v>
      </c>
      <c r="N56" s="169" t="s">
        <v>624</v>
      </c>
      <c r="O56" s="170" t="s">
        <v>686</v>
      </c>
      <c r="R56" s="169" t="s">
        <v>641</v>
      </c>
      <c r="T56" s="171" t="s">
        <v>676</v>
      </c>
      <c r="U56" s="171"/>
      <c r="X56" s="169" t="s">
        <v>677</v>
      </c>
      <c r="Y56" s="169" t="s">
        <v>645</v>
      </c>
    </row>
    <row r="57" spans="1:25" s="169" customFormat="1" ht="58.95" customHeight="1" x14ac:dyDescent="0.3">
      <c r="C57" s="169" t="str">
        <f>IFERROR(VLOOKUP(B57,'Control Sheet_Custom'!$A:$B,2,0),"")</f>
        <v/>
      </c>
      <c r="D57" s="169" t="s">
        <v>636</v>
      </c>
      <c r="E57" s="169" t="s">
        <v>654</v>
      </c>
      <c r="F57" s="169" t="s">
        <v>638</v>
      </c>
      <c r="H57" s="169" t="s">
        <v>36</v>
      </c>
      <c r="I57" s="169" t="s">
        <v>639</v>
      </c>
      <c r="J57" s="169" t="s">
        <v>13</v>
      </c>
      <c r="N57" s="169" t="s">
        <v>624</v>
      </c>
      <c r="O57" s="170" t="s">
        <v>687</v>
      </c>
      <c r="R57" s="169" t="s">
        <v>641</v>
      </c>
      <c r="T57" s="171" t="s">
        <v>676</v>
      </c>
      <c r="U57" s="171"/>
      <c r="X57" s="169" t="s">
        <v>677</v>
      </c>
      <c r="Y57" s="169" t="s">
        <v>645</v>
      </c>
    </row>
    <row r="58" spans="1:25" s="169" customFormat="1" ht="58.95" customHeight="1" x14ac:dyDescent="0.3">
      <c r="C58" s="169" t="str">
        <f>IFERROR(VLOOKUP(B58,'Control Sheet_Custom'!$A:$B,2,0),"")</f>
        <v/>
      </c>
      <c r="D58" s="169" t="s">
        <v>636</v>
      </c>
      <c r="E58" s="169" t="s">
        <v>679</v>
      </c>
      <c r="F58" s="169" t="s">
        <v>638</v>
      </c>
      <c r="H58" s="169" t="s">
        <v>36</v>
      </c>
      <c r="I58" s="169" t="s">
        <v>639</v>
      </c>
      <c r="J58" s="169" t="s">
        <v>13</v>
      </c>
      <c r="N58" s="169" t="s">
        <v>624</v>
      </c>
      <c r="O58" s="170" t="s">
        <v>680</v>
      </c>
      <c r="R58" s="169" t="s">
        <v>641</v>
      </c>
      <c r="T58" s="171" t="s">
        <v>701</v>
      </c>
      <c r="U58" s="171"/>
      <c r="X58" s="169" t="s">
        <v>702</v>
      </c>
      <c r="Y58" s="169" t="s">
        <v>645</v>
      </c>
    </row>
    <row r="59" spans="1:25" s="169" customFormat="1" ht="58.95" customHeight="1" x14ac:dyDescent="0.3">
      <c r="C59" s="169" t="str">
        <f>IFERROR(VLOOKUP(B59,'Control Sheet_Custom'!$A:$B,2,0),"")</f>
        <v/>
      </c>
      <c r="D59" s="169" t="s">
        <v>636</v>
      </c>
      <c r="E59" s="169" t="s">
        <v>682</v>
      </c>
      <c r="F59" s="169" t="s">
        <v>638</v>
      </c>
      <c r="H59" s="169" t="s">
        <v>36</v>
      </c>
      <c r="I59" s="169" t="s">
        <v>639</v>
      </c>
      <c r="J59" s="169" t="s">
        <v>13</v>
      </c>
      <c r="N59" s="169" t="s">
        <v>624</v>
      </c>
      <c r="O59" s="170" t="s">
        <v>683</v>
      </c>
      <c r="R59" s="169" t="s">
        <v>641</v>
      </c>
      <c r="T59" s="171" t="s">
        <v>701</v>
      </c>
      <c r="U59" s="171"/>
      <c r="X59" s="169" t="s">
        <v>702</v>
      </c>
      <c r="Y59" s="169" t="s">
        <v>645</v>
      </c>
    </row>
    <row r="60" spans="1:25" s="169" customFormat="1" ht="58.95" customHeight="1" x14ac:dyDescent="0.3">
      <c r="C60" s="169" t="str">
        <f>IFERROR(VLOOKUP(B60,'Control Sheet_Custom'!$A:$B,2,0),"")</f>
        <v/>
      </c>
      <c r="D60" s="169" t="s">
        <v>636</v>
      </c>
      <c r="E60" s="169" t="s">
        <v>690</v>
      </c>
      <c r="F60" s="169" t="s">
        <v>638</v>
      </c>
      <c r="H60" s="169" t="s">
        <v>36</v>
      </c>
      <c r="I60" s="169" t="s">
        <v>639</v>
      </c>
      <c r="J60" s="169" t="s">
        <v>13</v>
      </c>
      <c r="N60" s="169" t="s">
        <v>624</v>
      </c>
      <c r="O60" s="170" t="s">
        <v>688</v>
      </c>
      <c r="R60" s="169" t="s">
        <v>641</v>
      </c>
      <c r="T60" s="171" t="s">
        <v>701</v>
      </c>
      <c r="U60" s="171"/>
      <c r="X60" s="169" t="s">
        <v>702</v>
      </c>
      <c r="Y60" s="169" t="s">
        <v>645</v>
      </c>
    </row>
    <row r="61" spans="1:25" s="169" customFormat="1" ht="58.95" customHeight="1" x14ac:dyDescent="0.3">
      <c r="C61" s="169" t="str">
        <f>IFERROR(VLOOKUP(B61,'Control Sheet_Custom'!$A:$B,2,0),"")</f>
        <v/>
      </c>
      <c r="D61" s="169" t="s">
        <v>636</v>
      </c>
      <c r="E61" s="169" t="s">
        <v>692</v>
      </c>
      <c r="F61" s="169" t="s">
        <v>638</v>
      </c>
      <c r="H61" s="169" t="s">
        <v>36</v>
      </c>
      <c r="I61" s="169" t="s">
        <v>639</v>
      </c>
      <c r="J61" s="169" t="s">
        <v>13</v>
      </c>
      <c r="N61" s="169" t="s">
        <v>624</v>
      </c>
      <c r="O61" s="170" t="s">
        <v>689</v>
      </c>
      <c r="R61" s="169" t="s">
        <v>641</v>
      </c>
      <c r="T61" s="171" t="s">
        <v>701</v>
      </c>
      <c r="U61" s="171"/>
      <c r="X61" s="169" t="s">
        <v>702</v>
      </c>
      <c r="Y61" s="169" t="s">
        <v>645</v>
      </c>
    </row>
    <row r="62" spans="1:25" s="169" customFormat="1" ht="58.95" customHeight="1" x14ac:dyDescent="0.3">
      <c r="C62" s="169" t="str">
        <f>IFERROR(VLOOKUP(B62,'Control Sheet_Custom'!$A:$B,2,0),"")</f>
        <v/>
      </c>
      <c r="D62" s="169" t="s">
        <v>636</v>
      </c>
      <c r="E62" s="169" t="s">
        <v>703</v>
      </c>
      <c r="F62" s="169" t="s">
        <v>638</v>
      </c>
      <c r="H62" s="169" t="s">
        <v>36</v>
      </c>
      <c r="I62" s="169" t="s">
        <v>639</v>
      </c>
      <c r="J62" s="169" t="s">
        <v>13</v>
      </c>
      <c r="N62" s="169" t="s">
        <v>624</v>
      </c>
      <c r="O62" s="170" t="s">
        <v>691</v>
      </c>
      <c r="R62" s="169" t="s">
        <v>641</v>
      </c>
      <c r="T62" s="171" t="s">
        <v>701</v>
      </c>
      <c r="U62" s="171"/>
      <c r="X62" s="169" t="s">
        <v>702</v>
      </c>
      <c r="Y62" s="169" t="s">
        <v>645</v>
      </c>
    </row>
    <row r="63" spans="1:25" s="169" customFormat="1" ht="58.95" customHeight="1" x14ac:dyDescent="0.3">
      <c r="C63" s="169" t="str">
        <f>IFERROR(VLOOKUP(B63,'Control Sheet_Custom'!$A:$B,2,0),"")</f>
        <v/>
      </c>
      <c r="D63" s="169" t="s">
        <v>636</v>
      </c>
      <c r="E63" s="169" t="s">
        <v>704</v>
      </c>
      <c r="F63" s="169" t="s">
        <v>638</v>
      </c>
      <c r="H63" s="169" t="s">
        <v>36</v>
      </c>
      <c r="I63" s="169" t="s">
        <v>639</v>
      </c>
      <c r="J63" s="169" t="s">
        <v>13</v>
      </c>
      <c r="N63" s="169" t="s">
        <v>624</v>
      </c>
      <c r="O63" s="170" t="s">
        <v>693</v>
      </c>
      <c r="R63" s="169" t="s">
        <v>641</v>
      </c>
      <c r="T63" s="171" t="s">
        <v>701</v>
      </c>
      <c r="U63" s="171"/>
      <c r="X63" s="169" t="s">
        <v>702</v>
      </c>
      <c r="Y63" s="169" t="s">
        <v>645</v>
      </c>
    </row>
    <row r="64" spans="1:25" x14ac:dyDescent="0.3">
      <c r="C64" s="108"/>
    </row>
    <row r="65" spans="1:25" s="108" customFormat="1" ht="58.95" customHeight="1" x14ac:dyDescent="0.3">
      <c r="A65" s="154"/>
      <c r="B65" s="154"/>
      <c r="C65" s="108" t="str">
        <f>IFERROR(VLOOKUP(B65,'Control Sheet_Custom'!$A:$B,2,0),"")</f>
        <v/>
      </c>
      <c r="D65" s="108" t="s">
        <v>636</v>
      </c>
      <c r="E65" s="154" t="s">
        <v>705</v>
      </c>
      <c r="F65" s="108" t="s">
        <v>638</v>
      </c>
      <c r="H65" s="108" t="s">
        <v>36</v>
      </c>
      <c r="I65" s="108" t="s">
        <v>639</v>
      </c>
      <c r="J65" s="108" t="s">
        <v>13</v>
      </c>
      <c r="N65" s="108" t="s">
        <v>624</v>
      </c>
      <c r="O65" s="155" t="s">
        <v>706</v>
      </c>
      <c r="R65" s="108" t="s">
        <v>641</v>
      </c>
      <c r="T65" s="115" t="s">
        <v>707</v>
      </c>
      <c r="U65" s="115"/>
      <c r="X65" s="108" t="s">
        <v>696</v>
      </c>
      <c r="Y65" s="108" t="s">
        <v>708</v>
      </c>
    </row>
    <row r="66" spans="1:25" s="108" customFormat="1" ht="58.95" customHeight="1" x14ac:dyDescent="0.3">
      <c r="A66" s="154"/>
      <c r="B66" s="154"/>
      <c r="C66" s="108" t="str">
        <f>IFERROR(VLOOKUP(B66,'Control Sheet_Custom'!$A:$B,2,0),"")</f>
        <v/>
      </c>
      <c r="D66" s="108" t="s">
        <v>636</v>
      </c>
      <c r="E66" s="154" t="s">
        <v>709</v>
      </c>
      <c r="F66" s="108" t="s">
        <v>638</v>
      </c>
      <c r="H66" s="108" t="s">
        <v>36</v>
      </c>
      <c r="I66" s="108" t="s">
        <v>639</v>
      </c>
      <c r="J66" s="108" t="s">
        <v>13</v>
      </c>
      <c r="N66" s="108" t="s">
        <v>624</v>
      </c>
      <c r="O66" s="155" t="s">
        <v>710</v>
      </c>
      <c r="R66" s="108" t="s">
        <v>641</v>
      </c>
      <c r="T66" s="115" t="s">
        <v>707</v>
      </c>
      <c r="U66" s="115"/>
      <c r="X66" s="108" t="s">
        <v>696</v>
      </c>
      <c r="Y66" s="108" t="s">
        <v>708</v>
      </c>
    </row>
    <row r="67" spans="1:25" s="108" customFormat="1" ht="58.95" customHeight="1" x14ac:dyDescent="0.3">
      <c r="A67" s="154"/>
      <c r="B67" s="154"/>
      <c r="C67" s="108" t="str">
        <f>IFERROR(VLOOKUP(B67,'Control Sheet_Custom'!$A:$B,2,0),"")</f>
        <v/>
      </c>
      <c r="D67" s="108" t="s">
        <v>636</v>
      </c>
      <c r="E67" s="154" t="s">
        <v>711</v>
      </c>
      <c r="F67" s="108" t="s">
        <v>638</v>
      </c>
      <c r="H67" s="108" t="s">
        <v>36</v>
      </c>
      <c r="I67" s="108" t="s">
        <v>639</v>
      </c>
      <c r="J67" s="108" t="s">
        <v>13</v>
      </c>
      <c r="N67" s="108" t="s">
        <v>624</v>
      </c>
      <c r="O67" s="155" t="s">
        <v>712</v>
      </c>
      <c r="R67" s="108" t="s">
        <v>641</v>
      </c>
      <c r="T67" s="115" t="s">
        <v>707</v>
      </c>
      <c r="U67" s="115"/>
      <c r="X67" s="108" t="s">
        <v>696</v>
      </c>
      <c r="Y67" s="108" t="s">
        <v>708</v>
      </c>
    </row>
    <row r="68" spans="1:25" s="108" customFormat="1" ht="58.95" customHeight="1" x14ac:dyDescent="0.3">
      <c r="A68" s="154"/>
      <c r="B68" s="154"/>
      <c r="C68" s="108" t="str">
        <f>IFERROR(VLOOKUP(B68,'Control Sheet_Custom'!$A:$B,2,0),"")</f>
        <v/>
      </c>
      <c r="D68" s="108" t="s">
        <v>636</v>
      </c>
      <c r="E68" s="154" t="s">
        <v>713</v>
      </c>
      <c r="F68" s="108" t="s">
        <v>638</v>
      </c>
      <c r="H68" s="108" t="s">
        <v>36</v>
      </c>
      <c r="I68" s="108" t="s">
        <v>639</v>
      </c>
      <c r="J68" s="108" t="s">
        <v>13</v>
      </c>
      <c r="N68" s="108" t="s">
        <v>624</v>
      </c>
      <c r="O68" s="155" t="s">
        <v>714</v>
      </c>
      <c r="R68" s="108" t="s">
        <v>641</v>
      </c>
      <c r="T68" s="115" t="s">
        <v>707</v>
      </c>
      <c r="U68" s="115"/>
      <c r="X68" s="108" t="s">
        <v>696</v>
      </c>
      <c r="Y68" s="108" t="s">
        <v>708</v>
      </c>
    </row>
    <row r="69" spans="1:25" s="108" customFormat="1" ht="58.95" customHeight="1" x14ac:dyDescent="0.3">
      <c r="A69" s="154"/>
      <c r="B69" s="154"/>
      <c r="C69" s="108" t="str">
        <f>IFERROR(VLOOKUP(B69,'Control Sheet_Custom'!$A:$B,2,0),"")</f>
        <v/>
      </c>
      <c r="D69" s="108" t="s">
        <v>636</v>
      </c>
      <c r="E69" s="154" t="s">
        <v>715</v>
      </c>
      <c r="F69" s="108" t="s">
        <v>638</v>
      </c>
      <c r="H69" s="108" t="s">
        <v>36</v>
      </c>
      <c r="I69" s="108" t="s">
        <v>639</v>
      </c>
      <c r="J69" s="108" t="s">
        <v>13</v>
      </c>
      <c r="N69" s="108" t="s">
        <v>624</v>
      </c>
      <c r="O69" s="155" t="s">
        <v>716</v>
      </c>
      <c r="R69" s="108" t="s">
        <v>641</v>
      </c>
      <c r="T69" s="115" t="s">
        <v>707</v>
      </c>
      <c r="U69" s="115"/>
      <c r="X69" s="108" t="s">
        <v>696</v>
      </c>
      <c r="Y69" s="108" t="s">
        <v>708</v>
      </c>
    </row>
    <row r="70" spans="1:25" s="108" customFormat="1" ht="58.95" customHeight="1" x14ac:dyDescent="0.3">
      <c r="A70" s="154"/>
      <c r="B70" s="154"/>
      <c r="C70" s="108" t="str">
        <f>IFERROR(VLOOKUP(B70,'Control Sheet_Custom'!$A:$B,2,0),"")</f>
        <v/>
      </c>
      <c r="D70" s="108" t="s">
        <v>636</v>
      </c>
      <c r="E70" s="154" t="s">
        <v>717</v>
      </c>
      <c r="F70" s="108" t="s">
        <v>638</v>
      </c>
      <c r="H70" s="108" t="s">
        <v>36</v>
      </c>
      <c r="I70" s="108" t="s">
        <v>639</v>
      </c>
      <c r="J70" s="108" t="s">
        <v>13</v>
      </c>
      <c r="N70" s="108" t="s">
        <v>624</v>
      </c>
      <c r="O70" s="155" t="s">
        <v>718</v>
      </c>
      <c r="R70" s="108" t="s">
        <v>641</v>
      </c>
      <c r="T70" s="115" t="s">
        <v>707</v>
      </c>
      <c r="U70" s="115"/>
      <c r="X70" s="108" t="s">
        <v>696</v>
      </c>
      <c r="Y70" s="108" t="s">
        <v>708</v>
      </c>
    </row>
    <row r="73" spans="1:25" s="154" customFormat="1" ht="61.5" customHeight="1" x14ac:dyDescent="0.3">
      <c r="C73" s="154" t="str">
        <f>IFERROR(VLOOKUP(B73,'Control Sheet_Custom'!$A:$B,2,0),"")</f>
        <v/>
      </c>
      <c r="D73" s="154" t="s">
        <v>636</v>
      </c>
      <c r="E73" s="154" t="s">
        <v>637</v>
      </c>
      <c r="F73" s="154" t="s">
        <v>638</v>
      </c>
      <c r="H73" s="154" t="s">
        <v>36</v>
      </c>
      <c r="I73" s="154" t="s">
        <v>719</v>
      </c>
      <c r="J73" s="154" t="s">
        <v>13</v>
      </c>
      <c r="N73" s="154" t="s">
        <v>624</v>
      </c>
      <c r="O73" s="155" t="s">
        <v>720</v>
      </c>
      <c r="R73" s="154" t="s">
        <v>641</v>
      </c>
      <c r="T73" s="156" t="s">
        <v>721</v>
      </c>
      <c r="U73" s="156"/>
      <c r="X73" s="154" t="s">
        <v>696</v>
      </c>
      <c r="Y73" s="154" t="s">
        <v>645</v>
      </c>
    </row>
  </sheetData>
  <autoFilter ref="A3:Z3" xr:uid="{00000000-0009-0000-0000-000005000000}"/>
  <mergeCells count="3">
    <mergeCell ref="B2:E2"/>
    <mergeCell ref="H2:J2"/>
    <mergeCell ref="O2:T2"/>
  </mergeCells>
  <dataValidations count="4">
    <dataValidation type="list" allowBlank="1" showInputMessage="1" showErrorMessage="1" sqref="A4:A9 A65:A70 A25:A28 A30:A37 A12:A23 A73 A52:A63 A46:A50" xr:uid="{00000000-0002-0000-0500-000000000000}">
      <formula1>business_contxt</formula1>
    </dataValidation>
    <dataValidation type="list" allowBlank="1" showInputMessage="1" showErrorMessage="1" sqref="Y4:Y9 Y12:Y23 Y25:Y28 Y30:Y37 Y46:Y50 Y52:Y63 Y73" xr:uid="{00000000-0002-0000-0500-000001000000}">
      <formula1>obj_chart_func</formula1>
    </dataValidation>
    <dataValidation type="list" allowBlank="1" showInputMessage="1" showErrorMessage="1" sqref="D4:D9 D12:D23 D25:D28 D30:D37 D46:D50 D52:D63 D73" xr:uid="{00000000-0002-0000-0500-000002000000}">
      <formula1>obj_type_Chart</formula1>
    </dataValidation>
    <dataValidation type="list" allowBlank="1" showInputMessage="1" showErrorMessage="1" sqref="X4:X9 X12:X23 X25:X28 X30:X37 X73 X46:X50 X65:X70 X52:X63" xr:uid="{00000000-0002-0000-0500-000003000000}">
      <formula1>data_format</formula1>
    </dataValidation>
  </dataValidations>
  <pageMargins left="0.7" right="0.7" top="0.75" bottom="0.75" header="0.3" footer="0.3"/>
  <pageSetup orientation="portrait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rgb="FFFFFF00"/>
  </sheetPr>
  <dimension ref="A2:AF1048482"/>
  <sheetViews>
    <sheetView showGridLines="0" topLeftCell="A3" zoomScale="51" zoomScaleNormal="70" workbookViewId="0">
      <pane ySplit="1" topLeftCell="A5" activePane="bottomLeft" state="frozen"/>
      <selection activeCell="B6" sqref="B6"/>
      <selection pane="bottomLeft" activeCell="A4" sqref="A4:A59"/>
    </sheetView>
  </sheetViews>
  <sheetFormatPr defaultColWidth="8.5546875" defaultRowHeight="14.4" x14ac:dyDescent="0.3"/>
  <cols>
    <col min="1" max="1" width="12.21875" customWidth="1"/>
    <col min="2" max="2" width="10.33203125" customWidth="1"/>
    <col min="3" max="3" width="16.77734375" customWidth="1"/>
    <col min="4" max="4" width="18.5546875" customWidth="1"/>
    <col min="5" max="5" width="24.77734375" customWidth="1"/>
    <col min="6" max="6" width="8.33203125" customWidth="1"/>
    <col min="7" max="7" width="21.5546875" customWidth="1"/>
    <col min="8" max="8" width="19.5546875" customWidth="1"/>
    <col min="9" max="9" width="18" customWidth="1"/>
    <col min="10" max="10" width="17.5546875" customWidth="1"/>
    <col min="11" max="11" width="5.33203125" customWidth="1"/>
    <col min="12" max="12" width="19.5546875" customWidth="1"/>
    <col min="13" max="13" width="47.5546875" customWidth="1"/>
    <col min="14" max="14" width="38.5546875" customWidth="1"/>
    <col min="15" max="15" width="23.33203125" customWidth="1"/>
    <col min="16" max="16" width="31.5546875" customWidth="1"/>
    <col min="17" max="17" width="24" customWidth="1"/>
    <col min="18" max="18" width="11.33203125" customWidth="1"/>
    <col min="19" max="20" width="15.33203125" customWidth="1"/>
    <col min="21" max="21" width="46.33203125" customWidth="1"/>
    <col min="22" max="22" width="43.77734375" customWidth="1"/>
    <col min="23" max="23" width="33.77734375" customWidth="1"/>
    <col min="24" max="26" width="14.5546875" customWidth="1"/>
    <col min="27" max="27" width="79.77734375" customWidth="1"/>
    <col min="28" max="28" width="21.44140625" customWidth="1"/>
    <col min="29" max="29" width="19.5546875" customWidth="1"/>
    <col min="30" max="31" width="24.5546875" customWidth="1"/>
    <col min="32" max="32" width="25" customWidth="1"/>
  </cols>
  <sheetData>
    <row r="2" spans="1:32" ht="15" customHeight="1" thickBot="1" x14ac:dyDescent="0.35">
      <c r="B2" s="186" t="s">
        <v>608</v>
      </c>
      <c r="C2" s="187"/>
      <c r="D2" s="187"/>
      <c r="E2" s="187"/>
      <c r="G2" s="60"/>
      <c r="H2" s="60"/>
      <c r="I2" s="60"/>
      <c r="J2" s="60"/>
      <c r="K2" s="60"/>
      <c r="L2" s="60"/>
      <c r="M2" s="60"/>
      <c r="N2" s="188" t="s">
        <v>610</v>
      </c>
      <c r="O2" s="184"/>
      <c r="P2" s="184"/>
      <c r="Q2" s="5"/>
      <c r="R2" s="5"/>
      <c r="S2" s="5"/>
      <c r="T2" s="5"/>
      <c r="U2" s="5"/>
      <c r="V2" s="5"/>
      <c r="W2" s="5"/>
      <c r="X2" s="186" t="s">
        <v>722</v>
      </c>
      <c r="Y2" s="187"/>
      <c r="Z2" s="187"/>
      <c r="AA2" s="187"/>
      <c r="AB2" s="187"/>
    </row>
    <row r="3" spans="1:32" s="2" customFormat="1" ht="30" customHeight="1" x14ac:dyDescent="0.25">
      <c r="A3" s="76" t="s">
        <v>549</v>
      </c>
      <c r="B3" s="36" t="s">
        <v>611</v>
      </c>
      <c r="C3" s="37" t="s">
        <v>612</v>
      </c>
      <c r="D3" s="38" t="s">
        <v>723</v>
      </c>
      <c r="E3" s="38" t="s">
        <v>724</v>
      </c>
      <c r="F3" s="36" t="s">
        <v>615</v>
      </c>
      <c r="G3" s="36" t="s">
        <v>623</v>
      </c>
      <c r="H3" s="36" t="s">
        <v>617</v>
      </c>
      <c r="I3" s="36" t="s">
        <v>618</v>
      </c>
      <c r="J3" s="36" t="s">
        <v>619</v>
      </c>
      <c r="K3" s="36" t="s">
        <v>627</v>
      </c>
      <c r="L3" s="36" t="s">
        <v>633</v>
      </c>
      <c r="M3" s="36" t="s">
        <v>626</v>
      </c>
      <c r="N3" s="36" t="s">
        <v>624</v>
      </c>
      <c r="O3" s="36" t="s">
        <v>725</v>
      </c>
      <c r="P3" s="36" t="s">
        <v>625</v>
      </c>
      <c r="Q3" s="36" t="s">
        <v>726</v>
      </c>
      <c r="R3" s="36" t="s">
        <v>727</v>
      </c>
      <c r="S3" s="36" t="s">
        <v>728</v>
      </c>
      <c r="T3" s="36" t="s">
        <v>628</v>
      </c>
      <c r="U3" s="36" t="s">
        <v>629</v>
      </c>
      <c r="V3" s="36" t="s">
        <v>630</v>
      </c>
      <c r="W3" s="36" t="s">
        <v>631</v>
      </c>
      <c r="X3" s="36" t="s">
        <v>729</v>
      </c>
      <c r="Y3" s="36" t="s">
        <v>730</v>
      </c>
      <c r="Z3" s="36" t="s">
        <v>731</v>
      </c>
      <c r="AA3" s="36" t="s">
        <v>732</v>
      </c>
      <c r="AB3" s="36" t="s">
        <v>733</v>
      </c>
      <c r="AC3" s="36" t="s">
        <v>634</v>
      </c>
      <c r="AD3" s="14" t="s">
        <v>635</v>
      </c>
      <c r="AE3" s="14" t="s">
        <v>734</v>
      </c>
      <c r="AF3" s="14" t="s">
        <v>735</v>
      </c>
    </row>
    <row r="4" spans="1:32" s="108" customFormat="1" ht="12" customHeight="1" x14ac:dyDescent="0.3">
      <c r="A4" s="137"/>
      <c r="B4" s="108">
        <v>34</v>
      </c>
      <c r="C4" s="108" t="str">
        <f>IFERROR(VLOOKUP(B4,'Control Sheet_Custom'!$A:$B,2,0),"")</f>
        <v/>
      </c>
      <c r="D4" s="108" t="s">
        <v>736</v>
      </c>
      <c r="E4" s="108" t="s">
        <v>737</v>
      </c>
      <c r="F4" s="108" t="s">
        <v>638</v>
      </c>
      <c r="G4" s="108" t="s">
        <v>624</v>
      </c>
      <c r="H4" s="108" t="s">
        <v>639</v>
      </c>
      <c r="I4" s="108" t="s">
        <v>738</v>
      </c>
      <c r="J4" s="108" t="s">
        <v>13</v>
      </c>
      <c r="K4" s="108" t="s">
        <v>641</v>
      </c>
      <c r="L4" s="108" t="s">
        <v>644</v>
      </c>
      <c r="N4" s="114" t="s">
        <v>739</v>
      </c>
      <c r="O4" s="108" t="s">
        <v>740</v>
      </c>
      <c r="R4" s="108" t="s">
        <v>741</v>
      </c>
      <c r="S4" s="108" t="s">
        <v>741</v>
      </c>
      <c r="U4" s="115" t="s">
        <v>742</v>
      </c>
      <c r="V4" s="115" t="s">
        <v>743</v>
      </c>
      <c r="Y4" s="108">
        <v>0</v>
      </c>
      <c r="Z4" s="108">
        <v>0</v>
      </c>
      <c r="AC4" s="108" t="s">
        <v>744</v>
      </c>
      <c r="AD4" s="28" t="s">
        <v>745</v>
      </c>
    </row>
    <row r="5" spans="1:32" x14ac:dyDescent="0.3">
      <c r="C5" s="108" t="str">
        <f>IFERROR(VLOOKUP(B5,'Control Sheet_Custom'!$A:$B,2,0),"")</f>
        <v/>
      </c>
    </row>
    <row r="6" spans="1:32" x14ac:dyDescent="0.3">
      <c r="C6" s="108" t="str">
        <f>IFERROR(VLOOKUP(B6,'Control Sheet_Custom'!$A:$B,2,0),"")</f>
        <v/>
      </c>
    </row>
    <row r="7" spans="1:32" x14ac:dyDescent="0.3">
      <c r="C7" s="108" t="str">
        <f>IFERROR(VLOOKUP(B7,'Control Sheet_Custom'!$A:$B,2,0),"")</f>
        <v/>
      </c>
    </row>
    <row r="8" spans="1:32" x14ac:dyDescent="0.3">
      <c r="C8" s="108" t="str">
        <f>IFERROR(VLOOKUP(B8,'Control Sheet_Custom'!$A:$B,2,0),"")</f>
        <v/>
      </c>
    </row>
    <row r="10" spans="1:32" x14ac:dyDescent="0.3">
      <c r="C10" s="108" t="str">
        <f>IFERROR(VLOOKUP(B10,'Control Sheet_Custom'!$A:$B,2,0),"")</f>
        <v/>
      </c>
    </row>
    <row r="11" spans="1:32" s="108" customFormat="1" ht="12" customHeight="1" x14ac:dyDescent="0.3">
      <c r="B11" s="108">
        <v>2</v>
      </c>
      <c r="C11" s="108">
        <f>IFERROR(VLOOKUP(B11,'Control Sheet_Custom'!$A:$B,2,0),"")</f>
        <v>1637157044</v>
      </c>
      <c r="D11" s="108" t="s">
        <v>736</v>
      </c>
      <c r="E11" s="108" t="s">
        <v>746</v>
      </c>
      <c r="F11" s="108" t="s">
        <v>638</v>
      </c>
      <c r="G11" s="108" t="s">
        <v>624</v>
      </c>
      <c r="H11" s="108" t="s">
        <v>639</v>
      </c>
      <c r="I11" s="108" t="s">
        <v>36</v>
      </c>
      <c r="J11" s="108" t="s">
        <v>13</v>
      </c>
      <c r="K11" s="108" t="s">
        <v>641</v>
      </c>
      <c r="L11" s="108" t="s">
        <v>644</v>
      </c>
      <c r="N11" s="114" t="s">
        <v>747</v>
      </c>
      <c r="O11" s="108" t="s">
        <v>748</v>
      </c>
      <c r="R11" s="108" t="s">
        <v>749</v>
      </c>
      <c r="S11" s="108" t="s">
        <v>749</v>
      </c>
      <c r="U11" s="115" t="s">
        <v>750</v>
      </c>
      <c r="V11" s="115" t="s">
        <v>751</v>
      </c>
      <c r="Y11" s="108">
        <v>0</v>
      </c>
      <c r="Z11" s="108">
        <v>1</v>
      </c>
      <c r="AC11" s="108" t="s">
        <v>744</v>
      </c>
      <c r="AD11" s="28" t="s">
        <v>752</v>
      </c>
    </row>
    <row r="12" spans="1:32" x14ac:dyDescent="0.3">
      <c r="C12" s="108" t="str">
        <f>IFERROR(VLOOKUP(B12,'Control Sheet_Custom'!$A:$B,2,0),"")</f>
        <v/>
      </c>
    </row>
    <row r="13" spans="1:32" s="108" customFormat="1" ht="12" customHeight="1" x14ac:dyDescent="0.3">
      <c r="B13" s="108">
        <v>28</v>
      </c>
      <c r="C13" s="108" t="str">
        <f>IFERROR(VLOOKUP(B13,'Control Sheet_Custom'!$A:$B,2,0),"")</f>
        <v/>
      </c>
      <c r="D13" s="108" t="s">
        <v>736</v>
      </c>
      <c r="E13" s="108" t="s">
        <v>746</v>
      </c>
      <c r="F13" s="108" t="s">
        <v>638</v>
      </c>
      <c r="G13" s="108" t="s">
        <v>624</v>
      </c>
      <c r="H13" s="108" t="s">
        <v>36</v>
      </c>
      <c r="I13" s="108" t="s">
        <v>639</v>
      </c>
      <c r="J13" s="108" t="s">
        <v>13</v>
      </c>
      <c r="K13" s="108" t="s">
        <v>641</v>
      </c>
      <c r="L13" s="108" t="s">
        <v>644</v>
      </c>
      <c r="N13" s="114" t="s">
        <v>753</v>
      </c>
      <c r="O13" s="108" t="s">
        <v>748</v>
      </c>
      <c r="R13" s="108" t="s">
        <v>749</v>
      </c>
      <c r="S13" s="108" t="s">
        <v>749</v>
      </c>
      <c r="U13" s="115" t="s">
        <v>754</v>
      </c>
      <c r="V13" s="115"/>
      <c r="Y13" s="108">
        <v>0</v>
      </c>
      <c r="Z13" s="108">
        <v>0</v>
      </c>
      <c r="AC13" s="108" t="s">
        <v>744</v>
      </c>
      <c r="AD13" s="28" t="s">
        <v>752</v>
      </c>
    </row>
    <row r="14" spans="1:32" s="108" customFormat="1" ht="12" customHeight="1" x14ac:dyDescent="0.3">
      <c r="B14" s="108">
        <v>28</v>
      </c>
      <c r="C14" s="108" t="str">
        <f>IFERROR(VLOOKUP(B14,'Control Sheet_Custom'!$A:$B,2,0),"")</f>
        <v/>
      </c>
      <c r="D14" s="108" t="s">
        <v>736</v>
      </c>
      <c r="E14" s="108" t="s">
        <v>755</v>
      </c>
      <c r="F14" s="108" t="s">
        <v>638</v>
      </c>
      <c r="G14" s="108" t="s">
        <v>624</v>
      </c>
      <c r="H14" s="108" t="s">
        <v>36</v>
      </c>
      <c r="I14" s="108" t="s">
        <v>639</v>
      </c>
      <c r="J14" s="108" t="s">
        <v>13</v>
      </c>
      <c r="K14" s="108" t="s">
        <v>641</v>
      </c>
      <c r="L14" s="108" t="s">
        <v>644</v>
      </c>
      <c r="N14" s="114" t="s">
        <v>756</v>
      </c>
      <c r="O14" s="108" t="s">
        <v>748</v>
      </c>
      <c r="R14" s="108" t="s">
        <v>749</v>
      </c>
      <c r="S14" s="108" t="s">
        <v>749</v>
      </c>
      <c r="U14" s="115" t="s">
        <v>754</v>
      </c>
      <c r="V14" s="115"/>
      <c r="Y14" s="108">
        <v>0</v>
      </c>
      <c r="Z14" s="108">
        <v>0</v>
      </c>
      <c r="AC14" s="108" t="s">
        <v>744</v>
      </c>
      <c r="AD14" s="28" t="s">
        <v>752</v>
      </c>
    </row>
    <row r="15" spans="1:32" s="108" customFormat="1" ht="12" customHeight="1" x14ac:dyDescent="0.3">
      <c r="B15" s="108">
        <v>28</v>
      </c>
      <c r="C15" s="108" t="str">
        <f>IFERROR(VLOOKUP(B15,'Control Sheet_Custom'!$A:$B,2,0),"")</f>
        <v/>
      </c>
      <c r="D15" s="108" t="s">
        <v>736</v>
      </c>
      <c r="E15" s="108" t="s">
        <v>757</v>
      </c>
      <c r="F15" s="108" t="s">
        <v>638</v>
      </c>
      <c r="G15" s="108" t="s">
        <v>624</v>
      </c>
      <c r="H15" s="108" t="s">
        <v>36</v>
      </c>
      <c r="I15" s="108" t="s">
        <v>639</v>
      </c>
      <c r="J15" s="108" t="s">
        <v>13</v>
      </c>
      <c r="K15" s="108" t="s">
        <v>641</v>
      </c>
      <c r="L15" s="108" t="s">
        <v>644</v>
      </c>
      <c r="N15" s="114" t="s">
        <v>758</v>
      </c>
      <c r="O15" s="108" t="s">
        <v>748</v>
      </c>
      <c r="R15" s="108" t="s">
        <v>749</v>
      </c>
      <c r="S15" s="108" t="s">
        <v>749</v>
      </c>
      <c r="U15" s="115" t="s">
        <v>754</v>
      </c>
      <c r="V15" s="115"/>
      <c r="Y15" s="108">
        <v>0</v>
      </c>
      <c r="Z15" s="108">
        <v>0</v>
      </c>
      <c r="AC15" s="108" t="s">
        <v>744</v>
      </c>
      <c r="AD15" s="28" t="s">
        <v>752</v>
      </c>
    </row>
    <row r="16" spans="1:32" s="108" customFormat="1" ht="12" customHeight="1" x14ac:dyDescent="0.3">
      <c r="B16" s="108">
        <v>28</v>
      </c>
      <c r="C16" s="108" t="str">
        <f>IFERROR(VLOOKUP(B16,'Control Sheet_Custom'!$A:$B,2,0),"")</f>
        <v/>
      </c>
      <c r="D16" s="108" t="s">
        <v>736</v>
      </c>
      <c r="E16" s="108" t="s">
        <v>759</v>
      </c>
      <c r="F16" s="108" t="s">
        <v>638</v>
      </c>
      <c r="G16" s="108" t="s">
        <v>624</v>
      </c>
      <c r="H16" s="108" t="s">
        <v>36</v>
      </c>
      <c r="I16" s="108" t="s">
        <v>639</v>
      </c>
      <c r="J16" s="108" t="s">
        <v>13</v>
      </c>
      <c r="K16" s="108" t="s">
        <v>641</v>
      </c>
      <c r="L16" s="108" t="s">
        <v>644</v>
      </c>
      <c r="N16" s="114" t="s">
        <v>760</v>
      </c>
      <c r="O16" s="108" t="s">
        <v>748</v>
      </c>
      <c r="R16" s="108" t="s">
        <v>749</v>
      </c>
      <c r="S16" s="108" t="s">
        <v>749</v>
      </c>
      <c r="U16" s="115" t="s">
        <v>754</v>
      </c>
      <c r="V16" s="115"/>
      <c r="Y16" s="108">
        <v>0</v>
      </c>
      <c r="Z16" s="108">
        <v>0</v>
      </c>
      <c r="AC16" s="108" t="s">
        <v>744</v>
      </c>
      <c r="AD16" s="28" t="s">
        <v>752</v>
      </c>
    </row>
    <row r="17" spans="2:30" s="108" customFormat="1" ht="12" customHeight="1" x14ac:dyDescent="0.3">
      <c r="B17" s="108">
        <v>28</v>
      </c>
      <c r="C17" s="108" t="str">
        <f>IFERROR(VLOOKUP(B17,'Control Sheet_Custom'!$A:$B,2,0),"")</f>
        <v/>
      </c>
      <c r="D17" s="108" t="s">
        <v>736</v>
      </c>
      <c r="E17" s="108" t="s">
        <v>761</v>
      </c>
      <c r="F17" s="108" t="s">
        <v>638</v>
      </c>
      <c r="G17" s="108" t="s">
        <v>624</v>
      </c>
      <c r="H17" s="108" t="s">
        <v>36</v>
      </c>
      <c r="I17" s="108" t="s">
        <v>639</v>
      </c>
      <c r="J17" s="108" t="s">
        <v>13</v>
      </c>
      <c r="K17" s="108" t="s">
        <v>641</v>
      </c>
      <c r="L17" s="108" t="s">
        <v>644</v>
      </c>
      <c r="N17" s="114" t="s">
        <v>762</v>
      </c>
      <c r="O17" s="108" t="s">
        <v>748</v>
      </c>
      <c r="R17" s="108" t="s">
        <v>749</v>
      </c>
      <c r="S17" s="108" t="s">
        <v>749</v>
      </c>
      <c r="U17" s="115" t="s">
        <v>754</v>
      </c>
      <c r="V17" s="115"/>
      <c r="Y17" s="108">
        <v>0</v>
      </c>
      <c r="Z17" s="108">
        <v>0</v>
      </c>
      <c r="AC17" s="108" t="s">
        <v>744</v>
      </c>
      <c r="AD17" s="28" t="s">
        <v>752</v>
      </c>
    </row>
    <row r="18" spans="2:30" s="108" customFormat="1" ht="12" customHeight="1" x14ac:dyDescent="0.3">
      <c r="B18" s="108">
        <v>28</v>
      </c>
      <c r="C18" s="108" t="str">
        <f>IFERROR(VLOOKUP(B18,'Control Sheet_Custom'!$A:$B,2,0),"")</f>
        <v/>
      </c>
      <c r="D18" s="108" t="s">
        <v>736</v>
      </c>
      <c r="E18" s="108" t="s">
        <v>763</v>
      </c>
      <c r="F18" s="108" t="s">
        <v>638</v>
      </c>
      <c r="G18" s="108" t="s">
        <v>624</v>
      </c>
      <c r="H18" s="108" t="s">
        <v>36</v>
      </c>
      <c r="I18" s="108" t="s">
        <v>639</v>
      </c>
      <c r="J18" s="108" t="s">
        <v>13</v>
      </c>
      <c r="K18" s="108" t="s">
        <v>641</v>
      </c>
      <c r="L18" s="108" t="s">
        <v>644</v>
      </c>
      <c r="N18" s="114" t="s">
        <v>764</v>
      </c>
      <c r="O18" s="108" t="s">
        <v>748</v>
      </c>
      <c r="R18" s="108" t="s">
        <v>749</v>
      </c>
      <c r="S18" s="108" t="s">
        <v>749</v>
      </c>
      <c r="U18" s="115" t="s">
        <v>754</v>
      </c>
      <c r="V18" s="115"/>
      <c r="Y18" s="108">
        <v>0</v>
      </c>
      <c r="Z18" s="108">
        <v>0</v>
      </c>
      <c r="AC18" s="108" t="s">
        <v>744</v>
      </c>
      <c r="AD18" s="28" t="s">
        <v>752</v>
      </c>
    </row>
    <row r="19" spans="2:30" s="108" customFormat="1" ht="12" customHeight="1" x14ac:dyDescent="0.3">
      <c r="B19" s="108">
        <v>28</v>
      </c>
      <c r="C19" s="108" t="str">
        <f>IFERROR(VLOOKUP(B19,'Control Sheet_Custom'!$A:$B,2,0),"")</f>
        <v/>
      </c>
      <c r="D19" s="108" t="s">
        <v>736</v>
      </c>
      <c r="E19" s="108" t="s">
        <v>765</v>
      </c>
      <c r="F19" s="108" t="s">
        <v>638</v>
      </c>
      <c r="G19" s="108" t="s">
        <v>624</v>
      </c>
      <c r="H19" s="108" t="s">
        <v>36</v>
      </c>
      <c r="I19" s="108" t="s">
        <v>639</v>
      </c>
      <c r="J19" s="108" t="s">
        <v>13</v>
      </c>
      <c r="K19" s="108" t="s">
        <v>641</v>
      </c>
      <c r="L19" s="108" t="s">
        <v>644</v>
      </c>
      <c r="N19" s="114" t="s">
        <v>766</v>
      </c>
      <c r="O19" s="108" t="s">
        <v>748</v>
      </c>
      <c r="R19" s="108" t="s">
        <v>749</v>
      </c>
      <c r="S19" s="108" t="s">
        <v>749</v>
      </c>
      <c r="U19" s="115" t="s">
        <v>754</v>
      </c>
      <c r="V19" s="115"/>
      <c r="Y19" s="108">
        <v>0</v>
      </c>
      <c r="Z19" s="108">
        <v>0</v>
      </c>
      <c r="AC19" s="108" t="s">
        <v>744</v>
      </c>
      <c r="AD19" s="28" t="s">
        <v>752</v>
      </c>
    </row>
    <row r="20" spans="2:30" x14ac:dyDescent="0.3">
      <c r="C20" s="108" t="str">
        <f>IFERROR(VLOOKUP(B20,'Control Sheet_Custom'!$A:$B,2,0),"")</f>
        <v/>
      </c>
    </row>
    <row r="21" spans="2:30" s="108" customFormat="1" ht="12" customHeight="1" x14ac:dyDescent="0.3">
      <c r="B21" s="108">
        <v>5</v>
      </c>
      <c r="C21" s="108">
        <f>IFERROR(VLOOKUP(B21,'Control Sheet_Custom'!$A:$B,2,0),"")</f>
        <v>1637157054</v>
      </c>
      <c r="D21" s="108" t="s">
        <v>736</v>
      </c>
      <c r="E21" s="108" t="s">
        <v>746</v>
      </c>
      <c r="F21" s="108" t="s">
        <v>638</v>
      </c>
      <c r="G21" s="108" t="s">
        <v>624</v>
      </c>
      <c r="H21" s="108" t="s">
        <v>36</v>
      </c>
      <c r="I21" s="108" t="s">
        <v>639</v>
      </c>
      <c r="J21" s="108" t="s">
        <v>13</v>
      </c>
      <c r="K21" s="108" t="s">
        <v>641</v>
      </c>
      <c r="L21" s="108" t="s">
        <v>644</v>
      </c>
      <c r="N21" s="114" t="s">
        <v>767</v>
      </c>
      <c r="O21" s="108" t="s">
        <v>748</v>
      </c>
      <c r="R21" s="108" t="s">
        <v>749</v>
      </c>
      <c r="S21" s="108" t="s">
        <v>749</v>
      </c>
      <c r="U21" s="115"/>
      <c r="V21" s="115" t="s">
        <v>768</v>
      </c>
      <c r="Y21" s="108">
        <v>0</v>
      </c>
      <c r="Z21" s="108">
        <v>0</v>
      </c>
      <c r="AC21" s="108" t="s">
        <v>744</v>
      </c>
      <c r="AD21" s="28" t="s">
        <v>752</v>
      </c>
    </row>
    <row r="22" spans="2:30" s="108" customFormat="1" ht="12" customHeight="1" x14ac:dyDescent="0.3">
      <c r="B22" s="108">
        <v>5</v>
      </c>
      <c r="C22" s="108">
        <f>IFERROR(VLOOKUP(B22,'Control Sheet_Custom'!$A:$B,2,0),"")</f>
        <v>1637157054</v>
      </c>
      <c r="D22" s="108" t="s">
        <v>736</v>
      </c>
      <c r="E22" s="108" t="s">
        <v>755</v>
      </c>
      <c r="F22" s="108" t="s">
        <v>638</v>
      </c>
      <c r="G22" s="108" t="s">
        <v>624</v>
      </c>
      <c r="H22" s="108" t="s">
        <v>36</v>
      </c>
      <c r="I22" s="108" t="s">
        <v>639</v>
      </c>
      <c r="J22" s="108" t="s">
        <v>13</v>
      </c>
      <c r="K22" s="108" t="s">
        <v>641</v>
      </c>
      <c r="L22" s="108" t="s">
        <v>644</v>
      </c>
      <c r="N22" s="114" t="s">
        <v>769</v>
      </c>
      <c r="O22" s="108" t="s">
        <v>748</v>
      </c>
      <c r="R22" s="108" t="s">
        <v>749</v>
      </c>
      <c r="S22" s="108" t="s">
        <v>749</v>
      </c>
      <c r="U22" s="115"/>
      <c r="V22" s="115" t="s">
        <v>768</v>
      </c>
      <c r="Y22" s="108">
        <v>0</v>
      </c>
      <c r="Z22" s="108">
        <v>0</v>
      </c>
      <c r="AC22" s="108" t="s">
        <v>744</v>
      </c>
      <c r="AD22" s="28" t="s">
        <v>752</v>
      </c>
    </row>
    <row r="23" spans="2:30" s="108" customFormat="1" ht="12" customHeight="1" x14ac:dyDescent="0.3">
      <c r="B23" s="108">
        <v>5</v>
      </c>
      <c r="C23" s="108">
        <f>IFERROR(VLOOKUP(B23,'Control Sheet_Custom'!$A:$B,2,0),"")</f>
        <v>1637157054</v>
      </c>
      <c r="D23" s="108" t="s">
        <v>736</v>
      </c>
      <c r="E23" s="108" t="s">
        <v>757</v>
      </c>
      <c r="F23" s="108" t="s">
        <v>638</v>
      </c>
      <c r="G23" s="108" t="s">
        <v>624</v>
      </c>
      <c r="H23" s="108" t="s">
        <v>36</v>
      </c>
      <c r="I23" s="108" t="s">
        <v>639</v>
      </c>
      <c r="J23" s="108" t="s">
        <v>13</v>
      </c>
      <c r="K23" s="108" t="s">
        <v>641</v>
      </c>
      <c r="L23" s="108" t="s">
        <v>644</v>
      </c>
      <c r="N23" s="114" t="s">
        <v>770</v>
      </c>
      <c r="O23" s="108" t="s">
        <v>748</v>
      </c>
      <c r="R23" s="108" t="s">
        <v>749</v>
      </c>
      <c r="S23" s="108" t="s">
        <v>749</v>
      </c>
      <c r="U23" s="115"/>
      <c r="V23" s="115" t="s">
        <v>768</v>
      </c>
      <c r="Y23" s="108">
        <v>0</v>
      </c>
      <c r="Z23" s="108">
        <v>0</v>
      </c>
      <c r="AC23" s="108" t="s">
        <v>744</v>
      </c>
      <c r="AD23" s="28" t="s">
        <v>752</v>
      </c>
    </row>
    <row r="24" spans="2:30" x14ac:dyDescent="0.3">
      <c r="C24" s="108" t="str">
        <f>IFERROR(VLOOKUP(B24,'Control Sheet_Custom'!$A:$B,2,0),"")</f>
        <v/>
      </c>
    </row>
    <row r="25" spans="2:30" s="108" customFormat="1" ht="12" customHeight="1" x14ac:dyDescent="0.3">
      <c r="B25" s="108">
        <v>12</v>
      </c>
      <c r="C25" s="108" t="str">
        <f>IFERROR(VLOOKUP(B25,'Control Sheet_Custom'!$A:$B,2,0),"")</f>
        <v/>
      </c>
      <c r="D25" s="108" t="s">
        <v>736</v>
      </c>
      <c r="E25" s="108" t="s">
        <v>746</v>
      </c>
      <c r="F25" s="108" t="s">
        <v>638</v>
      </c>
      <c r="G25" s="108" t="s">
        <v>624</v>
      </c>
      <c r="H25" s="108" t="s">
        <v>36</v>
      </c>
      <c r="I25" s="108" t="s">
        <v>639</v>
      </c>
      <c r="J25" s="108" t="s">
        <v>13</v>
      </c>
      <c r="K25" s="108" t="s">
        <v>641</v>
      </c>
      <c r="L25" s="108" t="s">
        <v>644</v>
      </c>
      <c r="N25" s="114" t="s">
        <v>771</v>
      </c>
      <c r="O25" s="108" t="s">
        <v>748</v>
      </c>
      <c r="R25" s="108" t="s">
        <v>749</v>
      </c>
      <c r="S25" s="108" t="s">
        <v>749</v>
      </c>
      <c r="U25" s="115"/>
      <c r="V25" s="115" t="s">
        <v>768</v>
      </c>
      <c r="Y25" s="108">
        <v>0</v>
      </c>
      <c r="Z25" s="108">
        <v>0</v>
      </c>
      <c r="AC25" s="108" t="s">
        <v>744</v>
      </c>
      <c r="AD25" s="28" t="s">
        <v>752</v>
      </c>
    </row>
    <row r="26" spans="2:30" s="108" customFormat="1" ht="12" customHeight="1" x14ac:dyDescent="0.3">
      <c r="B26" s="108">
        <v>12</v>
      </c>
      <c r="C26" s="108" t="str">
        <f>IFERROR(VLOOKUP(B26,'Control Sheet_Custom'!$A:$B,2,0),"")</f>
        <v/>
      </c>
      <c r="D26" s="108" t="s">
        <v>736</v>
      </c>
      <c r="E26" s="108" t="s">
        <v>755</v>
      </c>
      <c r="F26" s="108" t="s">
        <v>638</v>
      </c>
      <c r="G26" s="108" t="s">
        <v>624</v>
      </c>
      <c r="H26" s="108" t="s">
        <v>36</v>
      </c>
      <c r="I26" s="108" t="s">
        <v>639</v>
      </c>
      <c r="J26" s="108" t="s">
        <v>13</v>
      </c>
      <c r="K26" s="108" t="s">
        <v>641</v>
      </c>
      <c r="L26" s="108" t="s">
        <v>644</v>
      </c>
      <c r="N26" s="114" t="s">
        <v>772</v>
      </c>
      <c r="O26" s="108" t="s">
        <v>748</v>
      </c>
      <c r="R26" s="108" t="s">
        <v>749</v>
      </c>
      <c r="S26" s="108" t="s">
        <v>749</v>
      </c>
      <c r="U26" s="115"/>
      <c r="V26" s="115" t="s">
        <v>768</v>
      </c>
      <c r="Y26" s="108">
        <v>0</v>
      </c>
      <c r="Z26" s="108">
        <v>0</v>
      </c>
      <c r="AC26" s="108" t="s">
        <v>744</v>
      </c>
      <c r="AD26" s="28" t="s">
        <v>752</v>
      </c>
    </row>
    <row r="27" spans="2:30" s="108" customFormat="1" ht="12" customHeight="1" x14ac:dyDescent="0.3">
      <c r="B27" s="108">
        <v>12</v>
      </c>
      <c r="C27" s="108" t="str">
        <f>IFERROR(VLOOKUP(B27,'Control Sheet_Custom'!$A:$B,2,0),"")</f>
        <v/>
      </c>
      <c r="D27" s="108" t="s">
        <v>736</v>
      </c>
      <c r="E27" s="108" t="s">
        <v>757</v>
      </c>
      <c r="F27" s="108" t="s">
        <v>638</v>
      </c>
      <c r="G27" s="108" t="s">
        <v>624</v>
      </c>
      <c r="H27" s="108" t="s">
        <v>36</v>
      </c>
      <c r="I27" s="108" t="s">
        <v>639</v>
      </c>
      <c r="J27" s="108" t="s">
        <v>13</v>
      </c>
      <c r="K27" s="108" t="s">
        <v>641</v>
      </c>
      <c r="L27" s="108" t="s">
        <v>644</v>
      </c>
      <c r="N27" s="114" t="s">
        <v>773</v>
      </c>
      <c r="O27" s="108" t="s">
        <v>748</v>
      </c>
      <c r="R27" s="108" t="s">
        <v>749</v>
      </c>
      <c r="S27" s="108" t="s">
        <v>749</v>
      </c>
      <c r="U27" s="115"/>
      <c r="V27" s="115" t="s">
        <v>768</v>
      </c>
      <c r="Y27" s="108">
        <v>0</v>
      </c>
      <c r="Z27" s="108">
        <v>0</v>
      </c>
      <c r="AC27" s="108" t="s">
        <v>744</v>
      </c>
      <c r="AD27" s="28" t="s">
        <v>752</v>
      </c>
    </row>
    <row r="28" spans="2:30" s="149" customFormat="1" ht="12" customHeight="1" x14ac:dyDescent="0.3">
      <c r="C28" s="108" t="str">
        <f>IFERROR(VLOOKUP(B28,'Control Sheet_Custom'!$A:$B,2,0),"")</f>
        <v/>
      </c>
      <c r="N28" s="150"/>
      <c r="U28" s="151"/>
      <c r="V28" s="151"/>
      <c r="AD28" s="22"/>
    </row>
    <row r="29" spans="2:30" x14ac:dyDescent="0.3">
      <c r="C29" s="108" t="str">
        <f>IFERROR(VLOOKUP(B29,'Control Sheet_Custom'!$A:$B,2,0),"")</f>
        <v/>
      </c>
    </row>
    <row r="30" spans="2:30" x14ac:dyDescent="0.3">
      <c r="C30" s="108" t="str">
        <f>IFERROR(VLOOKUP(B30,'Control Sheet_Custom'!$A:$B,2,0),"")</f>
        <v/>
      </c>
    </row>
    <row r="31" spans="2:30" x14ac:dyDescent="0.3">
      <c r="C31" s="108" t="str">
        <f>IFERROR(VLOOKUP(B31,'Control Sheet_Custom'!$A:$B,2,0),"")</f>
        <v/>
      </c>
    </row>
    <row r="32" spans="2:30" s="108" customFormat="1" ht="12" customHeight="1" x14ac:dyDescent="0.3">
      <c r="B32" s="108">
        <v>11</v>
      </c>
      <c r="C32" s="108" t="str">
        <f>IFERROR(VLOOKUP(B32,'Control Sheet_Custom'!$A:$B,2,0),"")</f>
        <v/>
      </c>
      <c r="D32" s="108" t="s">
        <v>736</v>
      </c>
      <c r="E32" s="108" t="s">
        <v>774</v>
      </c>
      <c r="F32" s="108" t="s">
        <v>638</v>
      </c>
      <c r="G32" s="108" t="s">
        <v>624</v>
      </c>
      <c r="H32" s="108" t="s">
        <v>36</v>
      </c>
      <c r="I32" s="108" t="s">
        <v>639</v>
      </c>
      <c r="J32" s="108" t="s">
        <v>13</v>
      </c>
      <c r="K32" s="108" t="s">
        <v>641</v>
      </c>
      <c r="L32" s="108" t="s">
        <v>702</v>
      </c>
      <c r="N32" s="114" t="s">
        <v>775</v>
      </c>
      <c r="O32" s="108" t="s">
        <v>748</v>
      </c>
      <c r="R32" s="108" t="s">
        <v>749</v>
      </c>
      <c r="S32" s="108" t="s">
        <v>749</v>
      </c>
      <c r="U32" s="115"/>
      <c r="V32" s="115" t="s">
        <v>776</v>
      </c>
      <c r="Y32" s="108">
        <v>0</v>
      </c>
      <c r="Z32" s="108">
        <v>0</v>
      </c>
      <c r="AC32" s="108" t="s">
        <v>744</v>
      </c>
      <c r="AD32" s="28" t="s">
        <v>752</v>
      </c>
    </row>
    <row r="33" spans="2:30" x14ac:dyDescent="0.3">
      <c r="C33" s="108" t="str">
        <f>IFERROR(VLOOKUP(B33,'Control Sheet_Custom'!$A:$B,2,0),"")</f>
        <v/>
      </c>
    </row>
    <row r="34" spans="2:30" s="108" customFormat="1" ht="12" customHeight="1" x14ac:dyDescent="0.3">
      <c r="B34" s="108">
        <v>2</v>
      </c>
      <c r="C34" s="108">
        <f>IFERROR(VLOOKUP(B34,'Control Sheet_Custom'!$A:$B,2,0),"")</f>
        <v>1637157044</v>
      </c>
      <c r="D34" s="108" t="s">
        <v>736</v>
      </c>
      <c r="E34" s="108" t="s">
        <v>737</v>
      </c>
      <c r="F34" s="108" t="s">
        <v>638</v>
      </c>
      <c r="G34" s="108" t="s">
        <v>624</v>
      </c>
      <c r="H34" s="108" t="s">
        <v>36</v>
      </c>
      <c r="I34" s="108" t="s">
        <v>639</v>
      </c>
      <c r="J34" s="108" t="s">
        <v>13</v>
      </c>
      <c r="K34" s="108" t="s">
        <v>641</v>
      </c>
      <c r="L34" s="108" t="s">
        <v>644</v>
      </c>
      <c r="N34" s="114" t="s">
        <v>777</v>
      </c>
      <c r="O34" s="108" t="s">
        <v>748</v>
      </c>
      <c r="R34" s="108" t="s">
        <v>741</v>
      </c>
      <c r="S34" s="108" t="s">
        <v>749</v>
      </c>
      <c r="U34" s="115" t="s">
        <v>657</v>
      </c>
      <c r="V34" s="115" t="s">
        <v>778</v>
      </c>
      <c r="Y34" s="108">
        <v>1</v>
      </c>
      <c r="Z34" s="108">
        <v>1</v>
      </c>
      <c r="AC34" s="108" t="s">
        <v>744</v>
      </c>
      <c r="AD34" s="28"/>
    </row>
    <row r="35" spans="2:30" x14ac:dyDescent="0.3">
      <c r="C35" s="108" t="str">
        <f>IFERROR(VLOOKUP(B35,'Control Sheet_Custom'!$A:$B,2,0),"")</f>
        <v/>
      </c>
    </row>
    <row r="36" spans="2:30" s="108" customFormat="1" ht="12" customHeight="1" x14ac:dyDescent="0.3">
      <c r="B36" s="108">
        <v>3</v>
      </c>
      <c r="C36" s="108">
        <f>IFERROR(VLOOKUP(B36,'Control Sheet_Custom'!$A:$B,2,0),"")</f>
        <v>1637157055</v>
      </c>
      <c r="D36" s="108" t="s">
        <v>736</v>
      </c>
      <c r="E36" s="108" t="s">
        <v>737</v>
      </c>
      <c r="F36" s="108" t="s">
        <v>638</v>
      </c>
      <c r="G36" s="108" t="s">
        <v>624</v>
      </c>
      <c r="H36" s="108" t="s">
        <v>36</v>
      </c>
      <c r="I36" s="108" t="s">
        <v>639</v>
      </c>
      <c r="J36" s="108" t="s">
        <v>13</v>
      </c>
      <c r="K36" s="108" t="s">
        <v>641</v>
      </c>
      <c r="L36" s="108" t="s">
        <v>644</v>
      </c>
      <c r="N36" s="114" t="s">
        <v>779</v>
      </c>
      <c r="O36" s="108" t="s">
        <v>748</v>
      </c>
      <c r="R36" s="108" t="s">
        <v>741</v>
      </c>
      <c r="S36" s="108" t="s">
        <v>749</v>
      </c>
      <c r="U36" s="115" t="s">
        <v>657</v>
      </c>
      <c r="V36" s="115" t="s">
        <v>780</v>
      </c>
      <c r="Y36" s="108">
        <v>1</v>
      </c>
      <c r="Z36" s="108">
        <v>1</v>
      </c>
      <c r="AC36" s="108" t="s">
        <v>744</v>
      </c>
      <c r="AD36" s="28"/>
    </row>
    <row r="37" spans="2:30" x14ac:dyDescent="0.3">
      <c r="C37" s="108" t="str">
        <f>IFERROR(VLOOKUP(B37,'Control Sheet_Custom'!$A:$B,2,0),"")</f>
        <v/>
      </c>
    </row>
    <row r="38" spans="2:30" s="108" customFormat="1" ht="12" customHeight="1" x14ac:dyDescent="0.3">
      <c r="B38" s="108">
        <v>4</v>
      </c>
      <c r="C38" s="108">
        <f>IFERROR(VLOOKUP(B38,'Control Sheet_Custom'!$A:$B,2,0),"")</f>
        <v>1637157056</v>
      </c>
      <c r="D38" s="108" t="s">
        <v>736</v>
      </c>
      <c r="E38" s="108" t="s">
        <v>737</v>
      </c>
      <c r="F38" s="108" t="s">
        <v>638</v>
      </c>
      <c r="G38" s="108" t="s">
        <v>624</v>
      </c>
      <c r="H38" s="108" t="s">
        <v>36</v>
      </c>
      <c r="I38" s="108" t="s">
        <v>639</v>
      </c>
      <c r="J38" s="108" t="s">
        <v>13</v>
      </c>
      <c r="K38" s="108" t="s">
        <v>641</v>
      </c>
      <c r="L38" s="108" t="s">
        <v>644</v>
      </c>
      <c r="N38" s="114" t="s">
        <v>781</v>
      </c>
      <c r="O38" s="108" t="s">
        <v>748</v>
      </c>
      <c r="R38" s="108" t="s">
        <v>741</v>
      </c>
      <c r="S38" s="108" t="s">
        <v>749</v>
      </c>
      <c r="U38" s="115" t="s">
        <v>657</v>
      </c>
      <c r="V38" s="115" t="s">
        <v>782</v>
      </c>
      <c r="Y38" s="108">
        <v>1</v>
      </c>
      <c r="Z38" s="108">
        <v>1</v>
      </c>
      <c r="AC38" s="108" t="s">
        <v>744</v>
      </c>
      <c r="AD38" s="28"/>
    </row>
    <row r="39" spans="2:30" x14ac:dyDescent="0.3">
      <c r="C39" s="108" t="str">
        <f>IFERROR(VLOOKUP(B39,'Control Sheet_Custom'!$A:$B,2,0),"")</f>
        <v/>
      </c>
    </row>
    <row r="40" spans="2:30" s="108" customFormat="1" ht="12" customHeight="1" x14ac:dyDescent="0.3">
      <c r="B40" s="108">
        <v>14</v>
      </c>
      <c r="C40" s="108" t="str">
        <f>IFERROR(VLOOKUP(B40,'Control Sheet_Custom'!$A:$B,2,0),"")</f>
        <v/>
      </c>
      <c r="D40" s="108" t="s">
        <v>736</v>
      </c>
      <c r="E40" s="108" t="s">
        <v>737</v>
      </c>
      <c r="F40" s="108" t="s">
        <v>638</v>
      </c>
      <c r="G40" s="108" t="s">
        <v>624</v>
      </c>
      <c r="H40" s="108" t="s">
        <v>36</v>
      </c>
      <c r="I40" s="108" t="s">
        <v>639</v>
      </c>
      <c r="J40" s="108" t="s">
        <v>13</v>
      </c>
      <c r="K40" s="108" t="s">
        <v>641</v>
      </c>
      <c r="L40" s="108" t="s">
        <v>644</v>
      </c>
      <c r="N40" s="114" t="s">
        <v>783</v>
      </c>
      <c r="O40" s="108" t="s">
        <v>748</v>
      </c>
      <c r="R40" s="108" t="s">
        <v>749</v>
      </c>
      <c r="S40" s="108" t="s">
        <v>749</v>
      </c>
      <c r="U40" s="115" t="s">
        <v>657</v>
      </c>
      <c r="V40" s="115" t="s">
        <v>784</v>
      </c>
      <c r="Y40" s="108">
        <v>2</v>
      </c>
      <c r="Z40" s="108">
        <v>1</v>
      </c>
      <c r="AC40" s="108" t="s">
        <v>744</v>
      </c>
      <c r="AD40" s="28"/>
    </row>
    <row r="41" spans="2:30" x14ac:dyDescent="0.3">
      <c r="C41" s="108" t="str">
        <f>IFERROR(VLOOKUP(B41,'Control Sheet_Custom'!$A:$B,2,0),"")</f>
        <v/>
      </c>
    </row>
    <row r="42" spans="2:30" s="108" customFormat="1" ht="12" customHeight="1" x14ac:dyDescent="0.3">
      <c r="B42" s="108">
        <v>25</v>
      </c>
      <c r="C42" s="108" t="str">
        <f>IFERROR(VLOOKUP(B42,'Control Sheet_Custom'!$A:$B,2,0),"")</f>
        <v/>
      </c>
      <c r="D42" s="108" t="s">
        <v>736</v>
      </c>
      <c r="E42" s="108" t="s">
        <v>737</v>
      </c>
      <c r="F42" s="108" t="s">
        <v>638</v>
      </c>
      <c r="G42" s="108" t="s">
        <v>624</v>
      </c>
      <c r="H42" s="108" t="s">
        <v>36</v>
      </c>
      <c r="I42" s="108" t="s">
        <v>639</v>
      </c>
      <c r="J42" s="108" t="s">
        <v>13</v>
      </c>
      <c r="K42" s="108" t="s">
        <v>641</v>
      </c>
      <c r="L42" s="108" t="s">
        <v>644</v>
      </c>
      <c r="N42" s="114" t="s">
        <v>785</v>
      </c>
      <c r="O42" s="108" t="s">
        <v>748</v>
      </c>
      <c r="R42" s="108" t="s">
        <v>749</v>
      </c>
      <c r="S42" s="108" t="s">
        <v>741</v>
      </c>
      <c r="U42" s="115" t="s">
        <v>786</v>
      </c>
      <c r="V42" s="115" t="s">
        <v>787</v>
      </c>
      <c r="Y42" s="108">
        <v>1</v>
      </c>
      <c r="Z42" s="108">
        <v>0</v>
      </c>
      <c r="AC42" s="108" t="s">
        <v>744</v>
      </c>
      <c r="AD42" s="28"/>
    </row>
    <row r="43" spans="2:30" x14ac:dyDescent="0.3">
      <c r="C43" s="108" t="str">
        <f>IFERROR(VLOOKUP(B43,'Control Sheet_Custom'!$A:$B,2,0),"")</f>
        <v/>
      </c>
    </row>
    <row r="44" spans="2:30" s="108" customFormat="1" ht="12" customHeight="1" x14ac:dyDescent="0.3">
      <c r="B44" s="108">
        <v>15</v>
      </c>
      <c r="C44" s="108" t="str">
        <f>IFERROR(VLOOKUP(B44,'Control Sheet_Custom'!$A:$B,2,0),"")</f>
        <v/>
      </c>
      <c r="D44" s="108" t="s">
        <v>736</v>
      </c>
      <c r="E44" s="108" t="s">
        <v>737</v>
      </c>
      <c r="F44" s="108" t="s">
        <v>638</v>
      </c>
      <c r="G44" s="108" t="s">
        <v>624</v>
      </c>
      <c r="H44" s="108" t="s">
        <v>36</v>
      </c>
      <c r="I44" s="108" t="s">
        <v>788</v>
      </c>
      <c r="J44" s="108" t="s">
        <v>13</v>
      </c>
      <c r="K44" s="108" t="s">
        <v>641</v>
      </c>
      <c r="L44" s="108" t="s">
        <v>644</v>
      </c>
      <c r="N44" s="114" t="s">
        <v>789</v>
      </c>
      <c r="O44" s="108" t="s">
        <v>790</v>
      </c>
      <c r="R44" s="108" t="s">
        <v>749</v>
      </c>
      <c r="S44" s="108" t="s">
        <v>749</v>
      </c>
      <c r="U44" s="115" t="s">
        <v>657</v>
      </c>
      <c r="V44" s="115" t="s">
        <v>791</v>
      </c>
      <c r="Y44" s="108">
        <v>2</v>
      </c>
      <c r="Z44" s="108">
        <v>1</v>
      </c>
      <c r="AC44" s="108" t="s">
        <v>744</v>
      </c>
      <c r="AD44" s="28"/>
    </row>
    <row r="45" spans="2:30" x14ac:dyDescent="0.3">
      <c r="C45" s="108" t="str">
        <f>IFERROR(VLOOKUP(B45,'Control Sheet_Custom'!$A:$B,2,0),"")</f>
        <v/>
      </c>
    </row>
    <row r="46" spans="2:30" s="144" customFormat="1" x14ac:dyDescent="0.3">
      <c r="C46" s="164" t="str">
        <f>IFERROR(VLOOKUP(B46,'Control Sheet_Custom'!$A:$B,2,0),"")</f>
        <v/>
      </c>
    </row>
    <row r="47" spans="2:30" x14ac:dyDescent="0.3">
      <c r="C47" s="108" t="str">
        <f>IFERROR(VLOOKUP(B47,'Control Sheet_Custom'!$A:$B,2,0),"")</f>
        <v/>
      </c>
    </row>
    <row r="48" spans="2:30" x14ac:dyDescent="0.3">
      <c r="C48" s="108" t="str">
        <f>IFERROR(VLOOKUP(B48,'Control Sheet_Custom'!$A:$B,2,0),"")</f>
        <v/>
      </c>
    </row>
    <row r="49" spans="2:30" x14ac:dyDescent="0.3">
      <c r="C49" s="108" t="str">
        <f>IFERROR(VLOOKUP(B49,'Control Sheet_Custom'!$A:$B,2,0),"")</f>
        <v/>
      </c>
    </row>
    <row r="50" spans="2:30" s="108" customFormat="1" ht="12" customHeight="1" x14ac:dyDescent="0.3">
      <c r="B50" s="108">
        <v>13</v>
      </c>
      <c r="C50" s="108" t="str">
        <f>IFERROR(VLOOKUP(B50,'Control Sheet_Custom'!$A:$B,2,0),"")</f>
        <v/>
      </c>
      <c r="D50" s="108" t="s">
        <v>736</v>
      </c>
      <c r="E50" s="108" t="s">
        <v>792</v>
      </c>
      <c r="F50" s="108" t="s">
        <v>638</v>
      </c>
      <c r="G50" s="108" t="s">
        <v>624</v>
      </c>
      <c r="H50" s="108" t="s">
        <v>36</v>
      </c>
      <c r="I50" s="108" t="s">
        <v>639</v>
      </c>
      <c r="J50" s="108" t="s">
        <v>13</v>
      </c>
      <c r="K50" s="108" t="s">
        <v>641</v>
      </c>
      <c r="L50" s="108" t="s">
        <v>696</v>
      </c>
      <c r="N50" s="114" t="s">
        <v>793</v>
      </c>
      <c r="O50" s="108" t="s">
        <v>748</v>
      </c>
      <c r="R50" s="108" t="s">
        <v>749</v>
      </c>
      <c r="S50" s="108" t="s">
        <v>749</v>
      </c>
      <c r="T50" s="165" t="s">
        <v>794</v>
      </c>
      <c r="U50" s="115" t="s">
        <v>642</v>
      </c>
      <c r="V50" s="115" t="s">
        <v>795</v>
      </c>
      <c r="Y50" s="108">
        <v>1</v>
      </c>
      <c r="Z50" s="108">
        <v>0</v>
      </c>
      <c r="AC50" s="108" t="s">
        <v>744</v>
      </c>
      <c r="AD50" s="28"/>
    </row>
    <row r="53" spans="2:30" s="108" customFormat="1" ht="12" customHeight="1" x14ac:dyDescent="0.3">
      <c r="B53" s="108">
        <v>2</v>
      </c>
      <c r="C53" s="108">
        <f>IFERROR(VLOOKUP(B53,'Control Sheet_Custom'!$A:$B,2,0),"")</f>
        <v>1637157044</v>
      </c>
      <c r="D53" s="108" t="s">
        <v>736</v>
      </c>
      <c r="E53" s="108" t="s">
        <v>792</v>
      </c>
      <c r="F53" s="108" t="s">
        <v>638</v>
      </c>
      <c r="G53" s="108" t="s">
        <v>624</v>
      </c>
      <c r="H53" s="108" t="s">
        <v>36</v>
      </c>
      <c r="I53" s="108" t="s">
        <v>639</v>
      </c>
      <c r="J53" s="108" t="s">
        <v>13</v>
      </c>
      <c r="K53" s="108" t="s">
        <v>641</v>
      </c>
      <c r="L53" s="108" t="s">
        <v>644</v>
      </c>
      <c r="N53" s="114" t="s">
        <v>796</v>
      </c>
      <c r="O53" s="108" t="s">
        <v>748</v>
      </c>
      <c r="R53" s="108" t="s">
        <v>749</v>
      </c>
      <c r="S53" s="108" t="s">
        <v>749</v>
      </c>
      <c r="T53" s="165" t="s">
        <v>794</v>
      </c>
      <c r="U53" s="115" t="s">
        <v>642</v>
      </c>
      <c r="V53" s="115" t="s">
        <v>795</v>
      </c>
      <c r="Y53" s="108">
        <v>0</v>
      </c>
      <c r="Z53" s="108">
        <v>0</v>
      </c>
      <c r="AC53" s="108" t="s">
        <v>744</v>
      </c>
      <c r="AD53" s="28"/>
    </row>
    <row r="1048453" spans="3:9" x14ac:dyDescent="0.3">
      <c r="C1048453" s="108"/>
      <c r="D1048453" s="108"/>
      <c r="G1048453" s="108"/>
      <c r="H1048453" s="108"/>
      <c r="I1048453" s="108"/>
    </row>
    <row r="1048454" spans="3:9" x14ac:dyDescent="0.3">
      <c r="C1048454" s="108"/>
    </row>
    <row r="1048455" spans="3:9" x14ac:dyDescent="0.3">
      <c r="C1048455" s="108"/>
    </row>
    <row r="1048456" spans="3:9" x14ac:dyDescent="0.3">
      <c r="C1048456" s="108"/>
    </row>
    <row r="1048457" spans="3:9" x14ac:dyDescent="0.3">
      <c r="C1048457" s="108"/>
    </row>
    <row r="1048458" spans="3:9" x14ac:dyDescent="0.3">
      <c r="C1048458" s="108"/>
    </row>
    <row r="1048459" spans="3:9" x14ac:dyDescent="0.3">
      <c r="C1048459" s="108"/>
    </row>
    <row r="1048460" spans="3:9" x14ac:dyDescent="0.3">
      <c r="C1048460" s="108"/>
    </row>
    <row r="1048461" spans="3:9" x14ac:dyDescent="0.3">
      <c r="C1048461" s="108"/>
    </row>
    <row r="1048462" spans="3:9" x14ac:dyDescent="0.3">
      <c r="C1048462" s="108"/>
    </row>
    <row r="1048463" spans="3:9" x14ac:dyDescent="0.3">
      <c r="C1048463" s="108"/>
    </row>
    <row r="1048464" spans="3:9" x14ac:dyDescent="0.3">
      <c r="C1048464" s="108"/>
    </row>
    <row r="1048465" spans="3:3" x14ac:dyDescent="0.3">
      <c r="C1048465" s="108"/>
    </row>
    <row r="1048466" spans="3:3" x14ac:dyDescent="0.3">
      <c r="C1048466" s="108"/>
    </row>
    <row r="1048467" spans="3:3" x14ac:dyDescent="0.3">
      <c r="C1048467" s="108"/>
    </row>
    <row r="1048468" spans="3:3" x14ac:dyDescent="0.3">
      <c r="C1048468" s="108"/>
    </row>
    <row r="1048469" spans="3:3" x14ac:dyDescent="0.3">
      <c r="C1048469" s="108"/>
    </row>
    <row r="1048470" spans="3:3" x14ac:dyDescent="0.3">
      <c r="C1048470" s="108"/>
    </row>
    <row r="1048471" spans="3:3" x14ac:dyDescent="0.3">
      <c r="C1048471" s="108"/>
    </row>
    <row r="1048472" spans="3:3" x14ac:dyDescent="0.3">
      <c r="C1048472" s="108"/>
    </row>
    <row r="1048473" spans="3:3" x14ac:dyDescent="0.3">
      <c r="C1048473" s="108"/>
    </row>
    <row r="1048474" spans="3:3" x14ac:dyDescent="0.3">
      <c r="C1048474" s="108"/>
    </row>
    <row r="1048475" spans="3:3" x14ac:dyDescent="0.3">
      <c r="C1048475" s="108"/>
    </row>
    <row r="1048476" spans="3:3" x14ac:dyDescent="0.3">
      <c r="C1048476" s="108"/>
    </row>
    <row r="1048477" spans="3:3" x14ac:dyDescent="0.3">
      <c r="C1048477" s="108"/>
    </row>
    <row r="1048478" spans="3:3" x14ac:dyDescent="0.3">
      <c r="C1048478" s="108"/>
    </row>
    <row r="1048479" spans="3:3" x14ac:dyDescent="0.3">
      <c r="C1048479" s="108"/>
    </row>
    <row r="1048480" spans="3:3" x14ac:dyDescent="0.3">
      <c r="C1048480" s="108"/>
    </row>
    <row r="1048481" spans="3:3" x14ac:dyDescent="0.3">
      <c r="C1048481" s="108"/>
    </row>
    <row r="1048482" spans="3:3" x14ac:dyDescent="0.3">
      <c r="C1048482" s="108"/>
    </row>
  </sheetData>
  <mergeCells count="3">
    <mergeCell ref="B2:E2"/>
    <mergeCell ref="N2:P2"/>
    <mergeCell ref="X2:AB2"/>
  </mergeCells>
  <dataValidations count="5">
    <dataValidation type="list" allowBlank="1" showInputMessage="1" showErrorMessage="1" sqref="D1048453 D4 D50 D11 D13:D19 D21:D23 D25:D28 D34 D32 D36 D38 D40 D42 D44 D53" xr:uid="{00000000-0002-0000-0600-000000000000}">
      <formula1>obj_type_Table</formula1>
    </dataValidation>
    <dataValidation type="list" allowBlank="1" showInputMessage="1" showErrorMessage="1" sqref="A21:A23 A4 A50 A11 A13:A19 A25:A28 A34 A32 A36 A38 A40 A42 A44 A53" xr:uid="{00000000-0002-0000-0600-000001000000}">
      <formula1>business_contxt</formula1>
    </dataValidation>
    <dataValidation type="list" allowBlank="1" showInputMessage="1" showErrorMessage="1" sqref="F4 F50 F11 F13:F19 F21:F23 F25:F28 F34 F32 F36 F38 F40 F42 F44 F53" xr:uid="{00000000-0002-0000-0600-000002000000}">
      <formula1>data_sources_Table</formula1>
    </dataValidation>
    <dataValidation type="list" allowBlank="1" showInputMessage="1" showErrorMessage="1" sqref="L4 L50 L11 L13:L19 L21:L23 L25:L28 L34 L32 L36 L38 L40 L42 L44 L53" xr:uid="{00000000-0002-0000-0600-000003000000}">
      <formula1>data_format</formula1>
    </dataValidation>
    <dataValidation type="list" allowBlank="1" showInputMessage="1" showErrorMessage="1" sqref="AC4 AC50 AC11 AC13:AC19 AC21:AC23 AC25:AC28 AC34 AC32 AC36 AC38 AC40 AC42 AC44 AC53" xr:uid="{00000000-0002-0000-0600-000004000000}">
      <formula1>obj_tbl_funct</formula1>
    </dataValidation>
  </dataValidations>
  <pageMargins left="0.7" right="0.7" top="0.75" bottom="0.75" header="0.3" footer="0.3"/>
  <pageSetup orientation="portrait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>
    <tabColor rgb="FFFFFF00"/>
  </sheetPr>
  <dimension ref="A1:Y138"/>
  <sheetViews>
    <sheetView showGridLines="0" topLeftCell="A3" zoomScale="55" zoomScaleNormal="83" workbookViewId="0">
      <pane ySplit="1" topLeftCell="A4" activePane="bottomLeft" state="frozen"/>
      <selection activeCell="H23" sqref="H23"/>
      <selection pane="bottomLeft" activeCell="G17" sqref="G17"/>
    </sheetView>
  </sheetViews>
  <sheetFormatPr defaultColWidth="8.5546875" defaultRowHeight="14.4" x14ac:dyDescent="0.3"/>
  <cols>
    <col min="1" max="1" width="10.77734375" customWidth="1"/>
    <col min="2" max="2" width="10.33203125" customWidth="1"/>
    <col min="3" max="3" width="17.33203125" customWidth="1"/>
    <col min="4" max="4" width="11.33203125" bestFit="1" customWidth="1"/>
    <col min="5" max="5" width="9" customWidth="1"/>
    <col min="6" max="6" width="29" customWidth="1"/>
    <col min="7" max="7" width="26.5546875" customWidth="1"/>
    <col min="8" max="8" width="18.33203125" customWidth="1"/>
    <col min="9" max="9" width="26.33203125" customWidth="1"/>
    <col min="10" max="10" width="21.33203125" customWidth="1"/>
    <col min="11" max="11" width="23" customWidth="1"/>
    <col min="12" max="12" width="38.33203125" customWidth="1"/>
    <col min="13" max="13" width="14.33203125" customWidth="1"/>
    <col min="14" max="14" width="32.5546875" customWidth="1"/>
    <col min="15" max="15" width="19.5546875" customWidth="1"/>
    <col min="16" max="16" width="13.33203125" customWidth="1"/>
    <col min="17" max="17" width="27.33203125" customWidth="1"/>
    <col min="18" max="18" width="56.33203125" customWidth="1"/>
    <col min="19" max="19" width="13.5546875" customWidth="1"/>
    <col min="20" max="20" width="19.5546875" bestFit="1" customWidth="1"/>
    <col min="21" max="22" width="12.33203125" customWidth="1"/>
    <col min="23" max="23" width="13" customWidth="1"/>
    <col min="24" max="25" width="12.33203125" customWidth="1"/>
  </cols>
  <sheetData>
    <row r="1" spans="1:25" x14ac:dyDescent="0.3">
      <c r="B1" s="27"/>
      <c r="Q1" s="67"/>
    </row>
    <row r="2" spans="1:25" ht="15" customHeight="1" thickBot="1" x14ac:dyDescent="0.35">
      <c r="B2" s="186" t="s">
        <v>608</v>
      </c>
      <c r="C2" s="187"/>
      <c r="D2" s="187"/>
      <c r="E2" s="187"/>
      <c r="F2" s="187"/>
      <c r="G2" s="183" t="s">
        <v>797</v>
      </c>
      <c r="H2" s="184"/>
      <c r="I2" s="184"/>
      <c r="J2" s="184"/>
      <c r="K2" s="185"/>
      <c r="L2" s="188" t="s">
        <v>610</v>
      </c>
      <c r="M2" s="184"/>
      <c r="N2" s="184"/>
      <c r="O2" s="5"/>
      <c r="Q2" s="67"/>
      <c r="R2" s="189" t="s">
        <v>798</v>
      </c>
      <c r="S2" s="190"/>
      <c r="T2" s="190"/>
    </row>
    <row r="3" spans="1:25" s="80" customFormat="1" ht="24.45" customHeight="1" thickBot="1" x14ac:dyDescent="0.35">
      <c r="A3" s="64" t="s">
        <v>549</v>
      </c>
      <c r="B3" s="64" t="s">
        <v>611</v>
      </c>
      <c r="C3" s="77" t="s">
        <v>612</v>
      </c>
      <c r="D3" s="64" t="s">
        <v>799</v>
      </c>
      <c r="E3" s="64" t="s">
        <v>800</v>
      </c>
      <c r="F3" s="64" t="s">
        <v>801</v>
      </c>
      <c r="G3" s="64" t="s">
        <v>623</v>
      </c>
      <c r="H3" s="64" t="s">
        <v>633</v>
      </c>
      <c r="I3" s="64" t="s">
        <v>733</v>
      </c>
      <c r="J3" s="64" t="s">
        <v>802</v>
      </c>
      <c r="K3" s="64" t="s">
        <v>803</v>
      </c>
      <c r="L3" s="64" t="s">
        <v>624</v>
      </c>
      <c r="M3" s="64" t="s">
        <v>725</v>
      </c>
      <c r="N3" s="64" t="s">
        <v>625</v>
      </c>
      <c r="O3" s="64" t="s">
        <v>726</v>
      </c>
      <c r="P3" s="78" t="s">
        <v>627</v>
      </c>
      <c r="Q3" s="79" t="s">
        <v>804</v>
      </c>
      <c r="R3" s="64" t="s">
        <v>732</v>
      </c>
      <c r="S3" s="64" t="s">
        <v>805</v>
      </c>
      <c r="T3" s="64" t="s">
        <v>634</v>
      </c>
      <c r="U3" s="82" t="s">
        <v>806</v>
      </c>
      <c r="V3" s="82" t="s">
        <v>807</v>
      </c>
      <c r="W3" s="82" t="s">
        <v>808</v>
      </c>
      <c r="X3" s="82" t="s">
        <v>809</v>
      </c>
      <c r="Y3" s="64" t="s">
        <v>810</v>
      </c>
    </row>
    <row r="4" spans="1:25" x14ac:dyDescent="0.3">
      <c r="C4" s="108" t="str">
        <f>IFERROR(VLOOKUP(B4,'Control Sheet_Custom'!$A:$B,2,0),"")</f>
        <v/>
      </c>
    </row>
    <row r="5" spans="1:25" s="129" customFormat="1" x14ac:dyDescent="0.3">
      <c r="A5" s="158" t="s">
        <v>9</v>
      </c>
      <c r="B5" s="158">
        <v>3</v>
      </c>
      <c r="C5" s="158">
        <f>IFERROR(VLOOKUP(B5,'Control Sheet_Custom'!$A:$B,2,0),"")</f>
        <v>1637157055</v>
      </c>
      <c r="D5" s="159" t="s">
        <v>811</v>
      </c>
      <c r="E5" s="159"/>
      <c r="F5" s="159" t="s">
        <v>812</v>
      </c>
      <c r="G5" s="159" t="s">
        <v>624</v>
      </c>
      <c r="H5" s="159"/>
      <c r="I5" s="159"/>
      <c r="J5" s="159" t="s">
        <v>813</v>
      </c>
      <c r="K5" s="159"/>
      <c r="L5" s="114" t="s">
        <v>1399</v>
      </c>
      <c r="M5" s="161" t="s">
        <v>1398</v>
      </c>
      <c r="N5" s="161"/>
      <c r="O5" s="159"/>
      <c r="P5" s="116"/>
      <c r="Q5" s="162"/>
      <c r="R5" s="159"/>
      <c r="S5" s="159"/>
      <c r="T5" s="159" t="s">
        <v>814</v>
      </c>
      <c r="U5" s="159"/>
      <c r="V5" s="159"/>
      <c r="W5" s="159"/>
      <c r="X5" s="159"/>
      <c r="Y5" s="159" t="s">
        <v>815</v>
      </c>
    </row>
    <row r="6" spans="1:25" x14ac:dyDescent="0.3">
      <c r="A6" s="158"/>
      <c r="B6" s="158">
        <v>3</v>
      </c>
      <c r="C6" s="108">
        <f>IFERROR(VLOOKUP(B6,'Control Sheet_Custom'!$A:$B,2,0),"")</f>
        <v>1637157055</v>
      </c>
      <c r="D6" s="116" t="s">
        <v>811</v>
      </c>
      <c r="E6" s="116"/>
      <c r="F6" s="116" t="s">
        <v>816</v>
      </c>
      <c r="G6" s="159" t="s">
        <v>624</v>
      </c>
      <c r="H6" s="116"/>
      <c r="I6" s="116"/>
      <c r="J6" s="116" t="s">
        <v>817</v>
      </c>
      <c r="K6" s="116" t="s">
        <v>818</v>
      </c>
      <c r="L6" s="109"/>
      <c r="M6" s="117"/>
      <c r="N6" s="117"/>
      <c r="O6" s="116"/>
      <c r="P6" s="116"/>
      <c r="Q6" s="162" t="s">
        <v>819</v>
      </c>
      <c r="R6" s="116"/>
      <c r="S6" s="116"/>
      <c r="T6" s="116" t="s">
        <v>814</v>
      </c>
      <c r="U6" s="116"/>
      <c r="V6" s="116"/>
      <c r="W6" s="116"/>
      <c r="X6" s="116"/>
      <c r="Y6" s="116" t="s">
        <v>815</v>
      </c>
    </row>
    <row r="7" spans="1:25" x14ac:dyDescent="0.3">
      <c r="A7" s="158"/>
      <c r="B7" s="158">
        <v>3</v>
      </c>
      <c r="C7" s="108">
        <f>IFERROR(VLOOKUP(B7,'Control Sheet_Custom'!$A:$B,2,0),"")</f>
        <v>1637157055</v>
      </c>
      <c r="D7" s="116" t="s">
        <v>811</v>
      </c>
      <c r="E7" s="116"/>
      <c r="F7" s="116" t="s">
        <v>820</v>
      </c>
      <c r="G7" s="159" t="s">
        <v>624</v>
      </c>
      <c r="H7" s="116"/>
      <c r="I7" s="116"/>
      <c r="J7" s="116" t="s">
        <v>817</v>
      </c>
      <c r="K7" s="116" t="s">
        <v>818</v>
      </c>
      <c r="L7" s="109"/>
      <c r="M7" s="117"/>
      <c r="N7" s="117"/>
      <c r="O7" s="116"/>
      <c r="P7" s="116"/>
      <c r="Q7" s="162" t="s">
        <v>821</v>
      </c>
      <c r="R7" s="116"/>
      <c r="S7" s="116"/>
      <c r="T7" s="116" t="s">
        <v>814</v>
      </c>
      <c r="U7" s="116"/>
      <c r="V7" s="116"/>
      <c r="W7" s="116"/>
      <c r="X7" s="116"/>
      <c r="Y7" s="116" t="s">
        <v>815</v>
      </c>
    </row>
    <row r="8" spans="1:25" x14ac:dyDescent="0.3">
      <c r="A8" s="158"/>
      <c r="B8" s="158">
        <v>3</v>
      </c>
      <c r="C8" s="108">
        <f>IFERROR(VLOOKUP(B8,'Control Sheet_Custom'!$A:$B,2,0),"")</f>
        <v>1637157055</v>
      </c>
      <c r="D8" s="116" t="s">
        <v>811</v>
      </c>
      <c r="E8" s="116"/>
      <c r="F8" s="116" t="s">
        <v>822</v>
      </c>
      <c r="G8" s="159" t="s">
        <v>624</v>
      </c>
      <c r="H8" s="116"/>
      <c r="I8" s="116"/>
      <c r="J8" s="116" t="s">
        <v>817</v>
      </c>
      <c r="K8" s="116" t="s">
        <v>818</v>
      </c>
      <c r="L8" s="109"/>
      <c r="M8" s="117"/>
      <c r="N8" s="117"/>
      <c r="O8" s="116"/>
      <c r="P8" s="116"/>
      <c r="Q8" s="162" t="s">
        <v>823</v>
      </c>
      <c r="R8" s="116"/>
      <c r="S8" s="116"/>
      <c r="T8" s="116" t="s">
        <v>814</v>
      </c>
      <c r="U8" s="116"/>
      <c r="V8" s="116"/>
      <c r="W8" s="116"/>
      <c r="X8" s="116"/>
      <c r="Y8" s="116" t="s">
        <v>815</v>
      </c>
    </row>
    <row r="9" spans="1:25" x14ac:dyDescent="0.3">
      <c r="A9" s="158"/>
      <c r="B9" s="158">
        <v>3</v>
      </c>
      <c r="C9" s="108">
        <f>IFERROR(VLOOKUP(B9,'Control Sheet_Custom'!$A:$B,2,0),"")</f>
        <v>1637157055</v>
      </c>
      <c r="D9" s="116" t="s">
        <v>811</v>
      </c>
      <c r="E9" s="116"/>
      <c r="F9" s="116" t="s">
        <v>824</v>
      </c>
      <c r="G9" s="159" t="s">
        <v>624</v>
      </c>
      <c r="H9" s="116"/>
      <c r="I9" s="116"/>
      <c r="J9" s="116" t="s">
        <v>817</v>
      </c>
      <c r="K9" s="116" t="s">
        <v>818</v>
      </c>
      <c r="L9" s="109"/>
      <c r="M9" s="117"/>
      <c r="N9" s="117"/>
      <c r="O9" s="116"/>
      <c r="P9" s="116"/>
      <c r="Q9" s="162" t="s">
        <v>825</v>
      </c>
      <c r="R9" s="116"/>
      <c r="S9" s="116"/>
      <c r="T9" s="116" t="s">
        <v>814</v>
      </c>
      <c r="U9" s="116"/>
      <c r="V9" s="116"/>
      <c r="W9" s="116"/>
      <c r="X9" s="116"/>
      <c r="Y9" s="116" t="s">
        <v>815</v>
      </c>
    </row>
    <row r="10" spans="1:25" x14ac:dyDescent="0.3">
      <c r="A10" s="158"/>
      <c r="B10" s="158">
        <v>3</v>
      </c>
      <c r="C10" s="108">
        <f>IFERROR(VLOOKUP(B10,'Control Sheet_Custom'!$A:$B,2,0),"")</f>
        <v>1637157055</v>
      </c>
      <c r="D10" s="116" t="s">
        <v>811</v>
      </c>
      <c r="E10" s="116"/>
      <c r="F10" s="116" t="s">
        <v>826</v>
      </c>
      <c r="G10" s="159" t="s">
        <v>624</v>
      </c>
      <c r="H10" s="116"/>
      <c r="I10" s="116"/>
      <c r="J10" s="116" t="s">
        <v>817</v>
      </c>
      <c r="K10" s="116" t="s">
        <v>818</v>
      </c>
      <c r="L10" s="109"/>
      <c r="M10" s="117"/>
      <c r="N10" s="117"/>
      <c r="O10" s="116"/>
      <c r="P10" s="116"/>
      <c r="Q10" s="162" t="s">
        <v>827</v>
      </c>
      <c r="R10" s="116"/>
      <c r="S10" s="116"/>
      <c r="T10" s="116" t="s">
        <v>814</v>
      </c>
      <c r="U10" s="116"/>
      <c r="V10" s="116"/>
      <c r="W10" s="116"/>
      <c r="X10" s="116"/>
      <c r="Y10" s="116" t="s">
        <v>815</v>
      </c>
    </row>
    <row r="11" spans="1:25" x14ac:dyDescent="0.3">
      <c r="A11" s="158"/>
      <c r="B11" s="158">
        <v>3</v>
      </c>
      <c r="C11" s="108">
        <f>IFERROR(VLOOKUP(B11,'Control Sheet_Custom'!$A:$B,2,0),"")</f>
        <v>1637157055</v>
      </c>
      <c r="D11" s="116" t="s">
        <v>811</v>
      </c>
      <c r="E11" s="116"/>
      <c r="F11" s="116" t="s">
        <v>828</v>
      </c>
      <c r="G11" s="159"/>
      <c r="H11" s="116"/>
      <c r="I11" s="116"/>
      <c r="J11" s="116"/>
      <c r="K11" s="116"/>
      <c r="L11" s="109"/>
      <c r="M11" s="117"/>
      <c r="N11" s="117"/>
      <c r="O11" s="116"/>
      <c r="P11" s="116"/>
      <c r="Q11" s="162"/>
      <c r="R11" s="116"/>
      <c r="S11" s="116"/>
      <c r="T11" s="116"/>
      <c r="U11" s="116"/>
      <c r="V11" s="116"/>
      <c r="W11" s="116"/>
      <c r="X11" s="116"/>
      <c r="Y11" s="116"/>
    </row>
    <row r="12" spans="1:25" x14ac:dyDescent="0.3">
      <c r="A12" s="175"/>
      <c r="B12" s="175"/>
      <c r="C12" s="175"/>
      <c r="D12" s="176"/>
      <c r="E12" s="176"/>
      <c r="F12" s="176"/>
      <c r="G12" s="176"/>
      <c r="H12" s="176"/>
      <c r="I12" s="176"/>
      <c r="J12" s="176"/>
      <c r="K12" s="176"/>
      <c r="L12" s="177"/>
      <c r="M12" s="178"/>
      <c r="N12" s="178"/>
      <c r="O12" s="176"/>
      <c r="P12" s="176"/>
      <c r="Q12" s="179"/>
      <c r="R12" s="176"/>
      <c r="S12" s="176"/>
      <c r="T12" s="176"/>
      <c r="U12" s="176"/>
      <c r="V12" s="176"/>
      <c r="W12" s="176"/>
      <c r="X12" s="176"/>
      <c r="Y12" s="176"/>
    </row>
    <row r="13" spans="1:25" x14ac:dyDescent="0.3">
      <c r="A13" s="175"/>
      <c r="B13" s="175"/>
      <c r="C13" s="175"/>
      <c r="D13" s="176"/>
      <c r="E13" s="176"/>
      <c r="F13" s="176"/>
      <c r="G13" s="176"/>
      <c r="H13" s="176"/>
      <c r="I13" s="176"/>
      <c r="J13" s="176"/>
      <c r="K13" s="176"/>
      <c r="L13" s="177"/>
      <c r="M13" s="178"/>
      <c r="N13" s="178"/>
      <c r="O13" s="176"/>
      <c r="P13" s="176"/>
      <c r="Q13" s="179"/>
      <c r="R13" s="176"/>
      <c r="S13" s="176"/>
      <c r="T13" s="176"/>
      <c r="U13" s="176"/>
      <c r="V13" s="176"/>
      <c r="W13" s="176"/>
      <c r="X13" s="176"/>
      <c r="Y13" s="176"/>
    </row>
    <row r="14" spans="1:25" x14ac:dyDescent="0.3">
      <c r="A14" s="175"/>
      <c r="B14" s="175"/>
      <c r="C14" s="175"/>
      <c r="D14" s="176"/>
      <c r="E14" s="176"/>
      <c r="F14" s="176"/>
      <c r="G14" s="176"/>
      <c r="H14" s="176"/>
      <c r="I14" s="176"/>
      <c r="J14" s="176"/>
      <c r="K14" s="176"/>
      <c r="L14" s="177"/>
      <c r="M14" s="178"/>
      <c r="N14" s="178"/>
      <c r="O14" s="176"/>
      <c r="P14" s="176"/>
      <c r="Q14" s="179"/>
      <c r="R14" s="176"/>
      <c r="S14" s="176"/>
      <c r="T14" s="176"/>
      <c r="U14" s="176"/>
      <c r="V14" s="176"/>
      <c r="W14" s="176"/>
      <c r="X14" s="176"/>
      <c r="Y14" s="176"/>
    </row>
    <row r="15" spans="1:25" x14ac:dyDescent="0.3">
      <c r="A15" s="175"/>
      <c r="B15" s="175"/>
      <c r="C15" s="175"/>
      <c r="D15" s="176"/>
      <c r="E15" s="176"/>
      <c r="F15" s="176"/>
      <c r="G15" s="176"/>
      <c r="H15" s="176"/>
      <c r="I15" s="176"/>
      <c r="J15" s="176"/>
      <c r="K15" s="176"/>
      <c r="L15" s="177"/>
      <c r="M15" s="178"/>
      <c r="N15" s="178"/>
      <c r="O15" s="176"/>
      <c r="P15" s="176"/>
      <c r="Q15" s="179"/>
      <c r="R15" s="176"/>
      <c r="S15" s="176"/>
      <c r="T15" s="176"/>
      <c r="U15" s="176"/>
      <c r="V15" s="176"/>
      <c r="W15" s="176"/>
      <c r="X15" s="176"/>
      <c r="Y15" s="176"/>
    </row>
    <row r="16" spans="1:25" x14ac:dyDescent="0.3">
      <c r="A16" s="175"/>
      <c r="B16" s="175"/>
      <c r="C16" s="175"/>
      <c r="D16" s="176"/>
      <c r="E16" s="176"/>
      <c r="F16" s="176"/>
      <c r="G16" s="176"/>
      <c r="H16" s="176"/>
      <c r="I16" s="176"/>
      <c r="J16" s="176"/>
      <c r="K16" s="176"/>
      <c r="L16" s="177"/>
      <c r="M16" s="178"/>
      <c r="N16" s="178"/>
      <c r="O16" s="176"/>
      <c r="P16" s="176"/>
      <c r="Q16" s="179"/>
      <c r="R16" s="176"/>
      <c r="S16" s="176"/>
      <c r="T16" s="176"/>
      <c r="U16" s="176"/>
      <c r="V16" s="176"/>
      <c r="W16" s="176"/>
      <c r="X16" s="176"/>
      <c r="Y16" s="176"/>
    </row>
    <row r="17" spans="1:25" x14ac:dyDescent="0.3">
      <c r="A17" s="175"/>
      <c r="B17" s="175"/>
      <c r="C17" s="175"/>
      <c r="D17" s="176"/>
      <c r="E17" s="176"/>
      <c r="F17" s="176"/>
      <c r="G17" s="176"/>
      <c r="H17" s="176"/>
      <c r="I17" s="176"/>
      <c r="J17" s="176"/>
      <c r="K17" s="176"/>
      <c r="L17" s="177"/>
      <c r="M17" s="178"/>
      <c r="N17" s="178"/>
      <c r="O17" s="176"/>
      <c r="P17" s="176"/>
      <c r="Q17" s="179"/>
      <c r="R17" s="176"/>
      <c r="S17" s="176"/>
      <c r="T17" s="176"/>
      <c r="U17" s="176"/>
      <c r="V17" s="176"/>
      <c r="W17" s="176"/>
      <c r="X17" s="176"/>
      <c r="Y17" s="176"/>
    </row>
    <row r="19" spans="1:25" s="129" customFormat="1" x14ac:dyDescent="0.3">
      <c r="A19" s="158"/>
      <c r="B19" s="158">
        <v>14</v>
      </c>
      <c r="C19" s="158" t="str">
        <f>IFERROR(VLOOKUP(B19,'Control Sheet_Custom'!$A:$B,2,0),"")</f>
        <v/>
      </c>
      <c r="D19" s="159" t="s">
        <v>811</v>
      </c>
      <c r="E19" s="159"/>
      <c r="F19" s="159" t="s">
        <v>829</v>
      </c>
      <c r="G19" s="159" t="s">
        <v>804</v>
      </c>
      <c r="H19" s="159"/>
      <c r="I19" s="159"/>
      <c r="J19" s="159" t="s">
        <v>817</v>
      </c>
      <c r="K19" s="159" t="s">
        <v>818</v>
      </c>
      <c r="L19" s="160"/>
      <c r="M19" s="161"/>
      <c r="N19" s="161"/>
      <c r="O19" s="159"/>
      <c r="P19" s="159"/>
      <c r="Q19" s="162" t="s">
        <v>830</v>
      </c>
      <c r="R19" s="159"/>
      <c r="S19" s="159"/>
      <c r="T19" s="159" t="s">
        <v>814</v>
      </c>
      <c r="U19" s="159"/>
      <c r="V19" s="159"/>
      <c r="W19" s="159"/>
      <c r="X19" s="159"/>
      <c r="Y19" s="159" t="s">
        <v>815</v>
      </c>
    </row>
    <row r="20" spans="1:25" x14ac:dyDescent="0.3">
      <c r="A20" s="158"/>
      <c r="B20" s="158">
        <v>14</v>
      </c>
      <c r="C20" s="108" t="str">
        <f>IFERROR(VLOOKUP(B20,'Control Sheet_Custom'!$A:$B,2,0),"")</f>
        <v/>
      </c>
      <c r="D20" s="116" t="s">
        <v>811</v>
      </c>
      <c r="E20" s="116"/>
      <c r="F20" s="116" t="s">
        <v>831</v>
      </c>
      <c r="G20" s="116" t="s">
        <v>804</v>
      </c>
      <c r="H20" s="116"/>
      <c r="I20" s="116"/>
      <c r="J20" s="116" t="s">
        <v>817</v>
      </c>
      <c r="K20" s="116" t="s">
        <v>818</v>
      </c>
      <c r="L20" s="109"/>
      <c r="M20" s="117"/>
      <c r="N20" s="117"/>
      <c r="O20" s="116"/>
      <c r="P20" s="116"/>
      <c r="Q20" s="162" t="s">
        <v>819</v>
      </c>
      <c r="R20" s="116"/>
      <c r="S20" s="116"/>
      <c r="T20" s="116" t="s">
        <v>814</v>
      </c>
      <c r="U20" s="116"/>
      <c r="V20" s="116"/>
      <c r="W20" s="116"/>
      <c r="X20" s="116"/>
      <c r="Y20" s="116" t="s">
        <v>815</v>
      </c>
    </row>
    <row r="21" spans="1:25" x14ac:dyDescent="0.3">
      <c r="A21" s="158"/>
      <c r="B21" s="158">
        <v>14</v>
      </c>
      <c r="C21" s="108" t="str">
        <f>IFERROR(VLOOKUP(B21,'Control Sheet_Custom'!$A:$B,2,0),"")</f>
        <v/>
      </c>
      <c r="D21" s="116" t="s">
        <v>811</v>
      </c>
      <c r="E21" s="116"/>
      <c r="F21" s="116" t="s">
        <v>832</v>
      </c>
      <c r="G21" s="116" t="s">
        <v>804</v>
      </c>
      <c r="H21" s="116"/>
      <c r="I21" s="116"/>
      <c r="J21" s="116" t="s">
        <v>817</v>
      </c>
      <c r="K21" s="116" t="s">
        <v>818</v>
      </c>
      <c r="L21" s="109"/>
      <c r="M21" s="117"/>
      <c r="N21" s="117"/>
      <c r="O21" s="116"/>
      <c r="P21" s="116"/>
      <c r="Q21" s="162" t="s">
        <v>821</v>
      </c>
      <c r="R21" s="116"/>
      <c r="S21" s="116"/>
      <c r="T21" s="116" t="s">
        <v>814</v>
      </c>
      <c r="U21" s="116"/>
      <c r="V21" s="116"/>
      <c r="W21" s="116"/>
      <c r="X21" s="116"/>
      <c r="Y21" s="116" t="s">
        <v>815</v>
      </c>
    </row>
    <row r="22" spans="1:25" x14ac:dyDescent="0.3">
      <c r="A22" s="158"/>
      <c r="B22" s="158">
        <v>14</v>
      </c>
      <c r="C22" s="108" t="str">
        <f>IFERROR(VLOOKUP(B22,'Control Sheet_Custom'!$A:$B,2,0),"")</f>
        <v/>
      </c>
      <c r="D22" s="116" t="s">
        <v>811</v>
      </c>
      <c r="E22" s="116"/>
      <c r="F22" s="116" t="s">
        <v>833</v>
      </c>
      <c r="G22" s="116" t="s">
        <v>804</v>
      </c>
      <c r="H22" s="116"/>
      <c r="I22" s="116"/>
      <c r="J22" s="116" t="s">
        <v>817</v>
      </c>
      <c r="K22" s="116" t="s">
        <v>818</v>
      </c>
      <c r="L22" s="109"/>
      <c r="M22" s="117"/>
      <c r="N22" s="117"/>
      <c r="O22" s="116"/>
      <c r="P22" s="116"/>
      <c r="Q22" s="162" t="s">
        <v>823</v>
      </c>
      <c r="R22" s="116"/>
      <c r="S22" s="116"/>
      <c r="T22" s="116" t="s">
        <v>814</v>
      </c>
      <c r="U22" s="116"/>
      <c r="V22" s="116"/>
      <c r="W22" s="116"/>
      <c r="X22" s="116"/>
      <c r="Y22" s="116" t="s">
        <v>815</v>
      </c>
    </row>
    <row r="23" spans="1:25" x14ac:dyDescent="0.3">
      <c r="A23" s="158"/>
      <c r="B23" s="158">
        <v>14</v>
      </c>
      <c r="C23" s="108" t="str">
        <f>IFERROR(VLOOKUP(B23,'Control Sheet_Custom'!$A:$B,2,0),"")</f>
        <v/>
      </c>
      <c r="D23" s="116" t="s">
        <v>811</v>
      </c>
      <c r="E23" s="116"/>
      <c r="F23" s="116" t="s">
        <v>834</v>
      </c>
      <c r="G23" s="116" t="s">
        <v>804</v>
      </c>
      <c r="H23" s="116"/>
      <c r="I23" s="116"/>
      <c r="J23" s="116" t="s">
        <v>817</v>
      </c>
      <c r="K23" s="116" t="s">
        <v>818</v>
      </c>
      <c r="L23" s="109"/>
      <c r="M23" s="117"/>
      <c r="N23" s="117"/>
      <c r="O23" s="116"/>
      <c r="P23" s="116"/>
      <c r="Q23" s="162" t="s">
        <v>825</v>
      </c>
      <c r="R23" s="116"/>
      <c r="S23" s="116"/>
      <c r="T23" s="116" t="s">
        <v>814</v>
      </c>
      <c r="U23" s="116"/>
      <c r="V23" s="116"/>
      <c r="W23" s="116"/>
      <c r="X23" s="116"/>
      <c r="Y23" s="116" t="s">
        <v>815</v>
      </c>
    </row>
    <row r="24" spans="1:25" x14ac:dyDescent="0.3">
      <c r="A24" s="158"/>
      <c r="B24" s="158">
        <v>14</v>
      </c>
      <c r="C24" s="108" t="str">
        <f>IFERROR(VLOOKUP(B24,'Control Sheet_Custom'!$A:$B,2,0),"")</f>
        <v/>
      </c>
      <c r="D24" s="116" t="s">
        <v>811</v>
      </c>
      <c r="E24" s="116"/>
      <c r="F24" s="116" t="s">
        <v>835</v>
      </c>
      <c r="G24" s="116" t="s">
        <v>804</v>
      </c>
      <c r="H24" s="116"/>
      <c r="I24" s="116"/>
      <c r="J24" s="116" t="s">
        <v>817</v>
      </c>
      <c r="K24" s="116" t="s">
        <v>818</v>
      </c>
      <c r="L24" s="109"/>
      <c r="M24" s="117"/>
      <c r="N24" s="117"/>
      <c r="O24" s="116"/>
      <c r="P24" s="116"/>
      <c r="Q24" s="162" t="s">
        <v>827</v>
      </c>
      <c r="R24" s="116"/>
      <c r="S24" s="116"/>
      <c r="T24" s="116" t="s">
        <v>814</v>
      </c>
      <c r="U24" s="116"/>
      <c r="V24" s="116"/>
      <c r="W24" s="116"/>
      <c r="X24" s="116"/>
      <c r="Y24" s="116" t="s">
        <v>815</v>
      </c>
    </row>
    <row r="25" spans="1:25" x14ac:dyDescent="0.3">
      <c r="A25" s="158"/>
      <c r="B25" s="158">
        <v>14</v>
      </c>
      <c r="C25" s="108" t="str">
        <f>IFERROR(VLOOKUP(B25,'Control Sheet_Custom'!$A:$B,2,0),"")</f>
        <v/>
      </c>
      <c r="D25" s="116" t="s">
        <v>811</v>
      </c>
      <c r="E25" s="116"/>
      <c r="F25" s="116" t="s">
        <v>836</v>
      </c>
      <c r="G25" s="116" t="s">
        <v>804</v>
      </c>
      <c r="H25" s="116"/>
      <c r="I25" s="116"/>
      <c r="J25" s="116" t="s">
        <v>817</v>
      </c>
      <c r="K25" s="116" t="s">
        <v>818</v>
      </c>
      <c r="L25" s="109"/>
      <c r="M25" s="117"/>
      <c r="N25" s="117"/>
      <c r="O25" s="116"/>
      <c r="P25" s="116"/>
      <c r="Q25" s="162" t="s">
        <v>837</v>
      </c>
      <c r="R25" s="116"/>
      <c r="S25" s="116"/>
      <c r="T25" s="116" t="s">
        <v>814</v>
      </c>
      <c r="U25" s="116"/>
      <c r="V25" s="116"/>
      <c r="W25" s="116"/>
      <c r="X25" s="116"/>
      <c r="Y25" s="116" t="s">
        <v>815</v>
      </c>
    </row>
    <row r="26" spans="1:25" x14ac:dyDescent="0.3">
      <c r="A26" s="158"/>
      <c r="B26" s="158">
        <v>14</v>
      </c>
      <c r="C26" s="108" t="str">
        <f>IFERROR(VLOOKUP(B26,'Control Sheet_Custom'!$A:$B,2,0),"")</f>
        <v/>
      </c>
      <c r="D26" s="116" t="s">
        <v>811</v>
      </c>
      <c r="E26" s="116"/>
      <c r="F26" s="116" t="s">
        <v>838</v>
      </c>
      <c r="G26" s="116" t="s">
        <v>804</v>
      </c>
      <c r="H26" s="116"/>
      <c r="I26" s="116"/>
      <c r="J26" s="116" t="s">
        <v>817</v>
      </c>
      <c r="K26" s="116" t="s">
        <v>818</v>
      </c>
      <c r="L26" s="109"/>
      <c r="M26" s="117"/>
      <c r="N26" s="117"/>
      <c r="O26" s="116"/>
      <c r="P26" s="116"/>
      <c r="Q26" s="162" t="s">
        <v>839</v>
      </c>
      <c r="R26" s="116"/>
      <c r="S26" s="116"/>
      <c r="T26" s="116" t="s">
        <v>814</v>
      </c>
      <c r="U26" s="116"/>
      <c r="V26" s="116"/>
      <c r="W26" s="116"/>
      <c r="X26" s="116"/>
      <c r="Y26" s="116" t="s">
        <v>815</v>
      </c>
    </row>
    <row r="27" spans="1:25" x14ac:dyDescent="0.3">
      <c r="A27" s="158"/>
      <c r="B27" s="158">
        <v>14</v>
      </c>
      <c r="C27" s="108" t="str">
        <f>IFERROR(VLOOKUP(B27,'Control Sheet_Custom'!$A:$B,2,0),"")</f>
        <v/>
      </c>
      <c r="D27" s="116" t="s">
        <v>811</v>
      </c>
      <c r="E27" s="116"/>
      <c r="F27" s="116" t="s">
        <v>840</v>
      </c>
      <c r="G27" s="116" t="s">
        <v>804</v>
      </c>
      <c r="H27" s="116"/>
      <c r="I27" s="116"/>
      <c r="J27" s="116" t="s">
        <v>817</v>
      </c>
      <c r="K27" s="116" t="s">
        <v>818</v>
      </c>
      <c r="L27" s="109"/>
      <c r="M27" s="117"/>
      <c r="N27" s="117"/>
      <c r="O27" s="116"/>
      <c r="P27" s="116"/>
      <c r="Q27" s="162" t="s">
        <v>841</v>
      </c>
      <c r="R27" s="116"/>
      <c r="S27" s="116"/>
      <c r="T27" s="116" t="s">
        <v>814</v>
      </c>
      <c r="U27" s="116"/>
      <c r="V27" s="116"/>
      <c r="W27" s="116"/>
      <c r="X27" s="116"/>
      <c r="Y27" s="116" t="s">
        <v>815</v>
      </c>
    </row>
    <row r="28" spans="1:25" x14ac:dyDescent="0.3">
      <c r="A28" s="158"/>
      <c r="B28" s="158">
        <v>14</v>
      </c>
      <c r="C28" s="108" t="str">
        <f>IFERROR(VLOOKUP(B28,'Control Sheet_Custom'!$A:$B,2,0),"")</f>
        <v/>
      </c>
      <c r="D28" s="116" t="s">
        <v>811</v>
      </c>
      <c r="E28" s="116"/>
      <c r="F28" s="116" t="s">
        <v>842</v>
      </c>
      <c r="G28" s="116" t="s">
        <v>804</v>
      </c>
      <c r="H28" s="116"/>
      <c r="I28" s="116"/>
      <c r="J28" s="116" t="s">
        <v>817</v>
      </c>
      <c r="K28" s="116" t="s">
        <v>818</v>
      </c>
      <c r="L28" s="109"/>
      <c r="M28" s="117"/>
      <c r="N28" s="117"/>
      <c r="O28" s="116"/>
      <c r="P28" s="116"/>
      <c r="Q28" s="162" t="s">
        <v>843</v>
      </c>
      <c r="R28" s="116"/>
      <c r="S28" s="116"/>
      <c r="T28" s="116" t="s">
        <v>814</v>
      </c>
      <c r="U28" s="116"/>
      <c r="V28" s="116"/>
      <c r="W28" s="116"/>
      <c r="X28" s="116"/>
      <c r="Y28" s="116" t="s">
        <v>815</v>
      </c>
    </row>
    <row r="29" spans="1:25" x14ac:dyDescent="0.3">
      <c r="A29" s="158"/>
      <c r="B29" s="158">
        <v>14</v>
      </c>
      <c r="C29" s="108" t="str">
        <f>IFERROR(VLOOKUP(B29,'Control Sheet_Custom'!$A:$B,2,0),"")</f>
        <v/>
      </c>
      <c r="D29" s="116" t="s">
        <v>811</v>
      </c>
      <c r="E29" s="116"/>
      <c r="F29" s="116" t="s">
        <v>844</v>
      </c>
      <c r="G29" s="116" t="s">
        <v>804</v>
      </c>
      <c r="H29" s="116"/>
      <c r="I29" s="116"/>
      <c r="J29" s="116" t="s">
        <v>817</v>
      </c>
      <c r="K29" s="116" t="s">
        <v>818</v>
      </c>
      <c r="L29" s="109"/>
      <c r="M29" s="117"/>
      <c r="N29" s="117"/>
      <c r="O29" s="116"/>
      <c r="P29" s="116"/>
      <c r="Q29" s="162" t="s">
        <v>845</v>
      </c>
      <c r="R29" s="116"/>
      <c r="S29" s="116"/>
      <c r="T29" s="116" t="s">
        <v>814</v>
      </c>
      <c r="U29" s="116"/>
      <c r="V29" s="116"/>
      <c r="W29" s="116"/>
      <c r="X29" s="116"/>
      <c r="Y29" s="116" t="s">
        <v>815</v>
      </c>
    </row>
    <row r="30" spans="1:25" x14ac:dyDescent="0.3">
      <c r="A30" s="158"/>
      <c r="B30" s="158">
        <v>14</v>
      </c>
      <c r="C30" s="108" t="str">
        <f>IFERROR(VLOOKUP(B30,'Control Sheet_Custom'!$A:$B,2,0),"")</f>
        <v/>
      </c>
      <c r="D30" s="116" t="s">
        <v>811</v>
      </c>
      <c r="E30" s="116"/>
      <c r="F30" s="116" t="s">
        <v>846</v>
      </c>
      <c r="G30" s="116" t="s">
        <v>804</v>
      </c>
      <c r="H30" s="116"/>
      <c r="I30" s="116"/>
      <c r="J30" s="116" t="s">
        <v>817</v>
      </c>
      <c r="K30" s="116" t="s">
        <v>818</v>
      </c>
      <c r="L30" s="109"/>
      <c r="M30" s="117"/>
      <c r="N30" s="117"/>
      <c r="O30" s="116"/>
      <c r="P30" s="116"/>
      <c r="Q30" s="162" t="s">
        <v>847</v>
      </c>
      <c r="R30" s="116"/>
      <c r="S30" s="116"/>
      <c r="T30" s="116" t="s">
        <v>814</v>
      </c>
      <c r="U30" s="116"/>
      <c r="V30" s="116"/>
      <c r="W30" s="116"/>
      <c r="X30" s="116"/>
      <c r="Y30" s="116" t="s">
        <v>815</v>
      </c>
    </row>
    <row r="33" spans="1:25" s="129" customFormat="1" x14ac:dyDescent="0.3">
      <c r="A33" s="158"/>
      <c r="B33" s="158"/>
      <c r="C33" s="158"/>
      <c r="D33" s="159"/>
      <c r="E33" s="159"/>
      <c r="F33" s="159"/>
      <c r="G33" s="159"/>
      <c r="H33" s="159"/>
      <c r="I33" s="159"/>
      <c r="J33" s="159"/>
      <c r="K33" s="159"/>
      <c r="L33" s="160"/>
      <c r="M33" s="161"/>
      <c r="N33" s="161"/>
      <c r="O33" s="159"/>
      <c r="P33" s="159"/>
      <c r="Q33" s="162"/>
      <c r="R33" s="159"/>
      <c r="S33" s="159"/>
      <c r="T33" s="159"/>
      <c r="U33" s="159"/>
      <c r="V33" s="159"/>
      <c r="W33" s="159"/>
      <c r="X33" s="159"/>
      <c r="Y33" s="159"/>
    </row>
    <row r="34" spans="1:25" x14ac:dyDescent="0.3">
      <c r="A34" s="108"/>
      <c r="B34" s="158"/>
      <c r="C34" s="108"/>
      <c r="D34" s="116"/>
      <c r="E34" s="116"/>
      <c r="F34" s="159"/>
      <c r="G34" s="116"/>
      <c r="H34" s="116"/>
      <c r="I34" s="116"/>
      <c r="J34" s="116"/>
      <c r="K34" s="116"/>
      <c r="L34" s="109"/>
      <c r="M34" s="117"/>
      <c r="N34" s="117"/>
      <c r="O34" s="116"/>
      <c r="P34" s="116"/>
      <c r="Q34" s="162"/>
      <c r="R34" s="116"/>
      <c r="S34" s="116"/>
      <c r="T34" s="116"/>
      <c r="U34" s="116"/>
      <c r="V34" s="116"/>
      <c r="W34" s="116"/>
      <c r="X34" s="116"/>
      <c r="Y34" s="116"/>
    </row>
    <row r="35" spans="1:25" x14ac:dyDescent="0.3">
      <c r="A35" s="108"/>
      <c r="B35" s="158"/>
      <c r="C35" s="108"/>
      <c r="D35" s="116"/>
      <c r="E35" s="116"/>
      <c r="F35" s="159"/>
      <c r="G35" s="116"/>
      <c r="H35" s="116"/>
      <c r="I35" s="116"/>
      <c r="J35" s="116"/>
      <c r="K35" s="116"/>
      <c r="L35" s="109"/>
      <c r="M35" s="117"/>
      <c r="N35" s="117"/>
      <c r="O35" s="116"/>
      <c r="P35" s="116"/>
      <c r="Q35" s="162"/>
      <c r="R35" s="116"/>
      <c r="S35" s="116"/>
      <c r="T35" s="116"/>
      <c r="U35" s="116"/>
      <c r="V35" s="116"/>
      <c r="W35" s="116"/>
      <c r="X35" s="116"/>
      <c r="Y35" s="116"/>
    </row>
    <row r="36" spans="1:25" x14ac:dyDescent="0.3">
      <c r="A36" s="108"/>
      <c r="B36" s="158"/>
      <c r="C36" s="108"/>
      <c r="D36" s="116"/>
      <c r="E36" s="116"/>
      <c r="F36" s="159"/>
      <c r="G36" s="116"/>
      <c r="H36" s="116"/>
      <c r="I36" s="116"/>
      <c r="J36" s="116"/>
      <c r="K36" s="116"/>
      <c r="L36" s="109"/>
      <c r="M36" s="117"/>
      <c r="N36" s="117"/>
      <c r="O36" s="116"/>
      <c r="P36" s="116"/>
      <c r="Q36" s="162"/>
      <c r="R36" s="116"/>
      <c r="S36" s="116"/>
      <c r="T36" s="116"/>
      <c r="U36" s="116"/>
      <c r="V36" s="116"/>
      <c r="W36" s="116"/>
      <c r="X36" s="116"/>
      <c r="Y36" s="116"/>
    </row>
    <row r="38" spans="1:25" s="129" customFormat="1" x14ac:dyDescent="0.3">
      <c r="A38" s="158"/>
      <c r="B38" s="158">
        <v>18</v>
      </c>
      <c r="C38" s="158" t="str">
        <f>IFERROR(VLOOKUP(B38,'Control Sheet_Custom'!$A:$B,2,0),"")</f>
        <v/>
      </c>
      <c r="D38" s="159" t="s">
        <v>811</v>
      </c>
      <c r="E38" s="159"/>
      <c r="F38" s="159" t="s">
        <v>829</v>
      </c>
      <c r="G38" s="159" t="s">
        <v>804</v>
      </c>
      <c r="H38" s="159"/>
      <c r="I38" s="159"/>
      <c r="J38" s="159" t="s">
        <v>817</v>
      </c>
      <c r="K38" s="159" t="s">
        <v>818</v>
      </c>
      <c r="L38" s="160"/>
      <c r="M38" s="161"/>
      <c r="N38" s="161"/>
      <c r="O38" s="159"/>
      <c r="P38" s="159"/>
      <c r="Q38" s="162" t="s">
        <v>848</v>
      </c>
      <c r="R38" s="159"/>
      <c r="S38" s="159"/>
      <c r="T38" s="159" t="s">
        <v>814</v>
      </c>
      <c r="U38" s="159"/>
      <c r="V38" s="159"/>
      <c r="W38" s="159"/>
      <c r="X38" s="159"/>
      <c r="Y38" s="159" t="s">
        <v>815</v>
      </c>
    </row>
    <row r="39" spans="1:25" x14ac:dyDescent="0.3">
      <c r="A39" s="158"/>
      <c r="B39" s="158">
        <v>18</v>
      </c>
      <c r="C39" s="108" t="str">
        <f>IFERROR(VLOOKUP(B39,'Control Sheet_Custom'!$A:$B,2,0),"")</f>
        <v/>
      </c>
      <c r="D39" s="116" t="s">
        <v>811</v>
      </c>
      <c r="E39" s="116"/>
      <c r="F39" s="159" t="s">
        <v>831</v>
      </c>
      <c r="G39" s="116" t="s">
        <v>804</v>
      </c>
      <c r="H39" s="116"/>
      <c r="I39" s="116"/>
      <c r="J39" s="116" t="s">
        <v>817</v>
      </c>
      <c r="K39" s="116" t="s">
        <v>818</v>
      </c>
      <c r="L39" s="109"/>
      <c r="M39" s="117"/>
      <c r="N39" s="117"/>
      <c r="O39" s="116"/>
      <c r="P39" s="116"/>
      <c r="Q39" s="162" t="s">
        <v>849</v>
      </c>
      <c r="R39" s="116"/>
      <c r="S39" s="116"/>
      <c r="T39" s="116" t="s">
        <v>814</v>
      </c>
      <c r="U39" s="116"/>
      <c r="V39" s="116"/>
      <c r="W39" s="116"/>
      <c r="X39" s="116"/>
      <c r="Y39" s="116" t="s">
        <v>815</v>
      </c>
    </row>
    <row r="40" spans="1:25" x14ac:dyDescent="0.3">
      <c r="A40" s="158"/>
      <c r="B40" s="158">
        <v>18</v>
      </c>
      <c r="C40" s="108" t="str">
        <f>IFERROR(VLOOKUP(B40,'Control Sheet_Custom'!$A:$B,2,0),"")</f>
        <v/>
      </c>
      <c r="D40" s="116" t="s">
        <v>811</v>
      </c>
      <c r="E40" s="116"/>
      <c r="F40" s="159" t="s">
        <v>832</v>
      </c>
      <c r="G40" s="116" t="s">
        <v>804</v>
      </c>
      <c r="H40" s="116"/>
      <c r="I40" s="116"/>
      <c r="J40" s="116" t="s">
        <v>817</v>
      </c>
      <c r="K40" s="116" t="s">
        <v>818</v>
      </c>
      <c r="L40" s="109"/>
      <c r="M40" s="117"/>
      <c r="N40" s="117"/>
      <c r="O40" s="116"/>
      <c r="P40" s="116"/>
      <c r="Q40" s="162" t="s">
        <v>850</v>
      </c>
      <c r="R40" s="116"/>
      <c r="S40" s="116"/>
      <c r="T40" s="116" t="s">
        <v>814</v>
      </c>
      <c r="U40" s="116"/>
      <c r="V40" s="116"/>
      <c r="W40" s="116"/>
      <c r="X40" s="116"/>
      <c r="Y40" s="116" t="s">
        <v>815</v>
      </c>
    </row>
    <row r="41" spans="1:25" x14ac:dyDescent="0.3">
      <c r="A41" s="158"/>
      <c r="B41" s="158">
        <v>18</v>
      </c>
      <c r="C41" s="108" t="str">
        <f>IFERROR(VLOOKUP(B41,'Control Sheet_Custom'!$A:$B,2,0),"")</f>
        <v/>
      </c>
      <c r="D41" s="116" t="s">
        <v>811</v>
      </c>
      <c r="E41" s="116"/>
      <c r="F41" s="159" t="s">
        <v>833</v>
      </c>
      <c r="G41" s="116" t="s">
        <v>804</v>
      </c>
      <c r="H41" s="116"/>
      <c r="I41" s="116"/>
      <c r="J41" s="116" t="s">
        <v>817</v>
      </c>
      <c r="K41" s="116" t="s">
        <v>818</v>
      </c>
      <c r="L41" s="109"/>
      <c r="M41" s="117"/>
      <c r="N41" s="117"/>
      <c r="O41" s="116"/>
      <c r="P41" s="116"/>
      <c r="Q41" s="162" t="s">
        <v>851</v>
      </c>
      <c r="R41" s="116"/>
      <c r="S41" s="116"/>
      <c r="T41" s="116" t="s">
        <v>814</v>
      </c>
      <c r="U41" s="116"/>
      <c r="V41" s="116"/>
      <c r="W41" s="116"/>
      <c r="X41" s="116"/>
      <c r="Y41" s="116" t="s">
        <v>815</v>
      </c>
    </row>
    <row r="42" spans="1:25" x14ac:dyDescent="0.3">
      <c r="A42" s="158"/>
      <c r="B42" s="158">
        <v>18</v>
      </c>
      <c r="C42" s="108" t="str">
        <f>IFERROR(VLOOKUP(B42,'Control Sheet_Custom'!$A:$B,2,0),"")</f>
        <v/>
      </c>
      <c r="D42" s="116" t="s">
        <v>811</v>
      </c>
      <c r="E42" s="116"/>
      <c r="F42" s="159" t="s">
        <v>834</v>
      </c>
      <c r="G42" s="116" t="s">
        <v>804</v>
      </c>
      <c r="H42" s="116"/>
      <c r="I42" s="116"/>
      <c r="J42" s="116" t="s">
        <v>817</v>
      </c>
      <c r="K42" s="116" t="s">
        <v>818</v>
      </c>
      <c r="L42" s="109"/>
      <c r="M42" s="117"/>
      <c r="N42" s="117"/>
      <c r="O42" s="116"/>
      <c r="P42" s="116"/>
      <c r="Q42" s="162" t="s">
        <v>852</v>
      </c>
      <c r="R42" s="116"/>
      <c r="S42" s="116"/>
      <c r="T42" s="116" t="s">
        <v>814</v>
      </c>
      <c r="U42" s="116"/>
      <c r="V42" s="116"/>
      <c r="W42" s="116"/>
      <c r="X42" s="116"/>
      <c r="Y42" s="116" t="s">
        <v>815</v>
      </c>
    </row>
    <row r="46" spans="1:25" s="129" customFormat="1" x14ac:dyDescent="0.3">
      <c r="A46" s="158"/>
      <c r="B46" s="158">
        <v>20</v>
      </c>
      <c r="C46" s="158" t="str">
        <f>IFERROR(VLOOKUP(B46,'Control Sheet_Custom'!$A:$B,2,0),"")</f>
        <v/>
      </c>
      <c r="D46" s="159" t="s">
        <v>811</v>
      </c>
      <c r="E46" s="159"/>
      <c r="F46" s="159" t="s">
        <v>829</v>
      </c>
      <c r="G46" s="159" t="s">
        <v>804</v>
      </c>
      <c r="H46" s="159"/>
      <c r="I46" s="159"/>
      <c r="J46" s="159" t="s">
        <v>817</v>
      </c>
      <c r="K46" s="159" t="s">
        <v>818</v>
      </c>
      <c r="L46" s="160"/>
      <c r="M46" s="161"/>
      <c r="N46" s="161"/>
      <c r="O46" s="159"/>
      <c r="P46" s="159"/>
      <c r="Q46" s="162" t="s">
        <v>848</v>
      </c>
      <c r="R46" s="159"/>
      <c r="S46" s="159"/>
      <c r="T46" s="159" t="s">
        <v>814</v>
      </c>
      <c r="U46" s="159"/>
      <c r="V46" s="159"/>
      <c r="W46" s="159"/>
      <c r="X46" s="159"/>
      <c r="Y46" s="159" t="s">
        <v>815</v>
      </c>
    </row>
    <row r="47" spans="1:25" x14ac:dyDescent="0.3">
      <c r="A47" s="158"/>
      <c r="B47" s="158">
        <v>20</v>
      </c>
      <c r="C47" s="108" t="str">
        <f>IFERROR(VLOOKUP(B47,'Control Sheet_Custom'!$A:$B,2,0),"")</f>
        <v/>
      </c>
      <c r="D47" s="116" t="s">
        <v>811</v>
      </c>
      <c r="E47" s="116"/>
      <c r="F47" s="159" t="s">
        <v>831</v>
      </c>
      <c r="G47" s="116" t="s">
        <v>804</v>
      </c>
      <c r="H47" s="116"/>
      <c r="I47" s="116"/>
      <c r="J47" s="116" t="s">
        <v>817</v>
      </c>
      <c r="K47" s="116" t="s">
        <v>818</v>
      </c>
      <c r="L47" s="109"/>
      <c r="M47" s="117"/>
      <c r="N47" s="117"/>
      <c r="O47" s="116"/>
      <c r="P47" s="116"/>
      <c r="Q47" s="162" t="s">
        <v>849</v>
      </c>
      <c r="R47" s="116"/>
      <c r="S47" s="116"/>
      <c r="T47" s="116" t="s">
        <v>814</v>
      </c>
      <c r="U47" s="116"/>
      <c r="V47" s="116"/>
      <c r="W47" s="116"/>
      <c r="X47" s="116"/>
      <c r="Y47" s="116" t="s">
        <v>815</v>
      </c>
    </row>
    <row r="48" spans="1:25" x14ac:dyDescent="0.3">
      <c r="A48" s="158"/>
      <c r="B48" s="158">
        <v>20</v>
      </c>
      <c r="C48" s="108" t="str">
        <f>IFERROR(VLOOKUP(B48,'Control Sheet_Custom'!$A:$B,2,0),"")</f>
        <v/>
      </c>
      <c r="D48" s="116" t="s">
        <v>811</v>
      </c>
      <c r="E48" s="116"/>
      <c r="F48" s="159" t="s">
        <v>832</v>
      </c>
      <c r="G48" s="116" t="s">
        <v>804</v>
      </c>
      <c r="H48" s="116"/>
      <c r="I48" s="116"/>
      <c r="J48" s="116" t="s">
        <v>817</v>
      </c>
      <c r="K48" s="116" t="s">
        <v>818</v>
      </c>
      <c r="L48" s="109"/>
      <c r="M48" s="117"/>
      <c r="N48" s="117"/>
      <c r="O48" s="116"/>
      <c r="P48" s="116"/>
      <c r="Q48" s="162" t="s">
        <v>850</v>
      </c>
      <c r="R48" s="116"/>
      <c r="S48" s="116"/>
      <c r="T48" s="116" t="s">
        <v>814</v>
      </c>
      <c r="U48" s="116"/>
      <c r="V48" s="116"/>
      <c r="W48" s="116"/>
      <c r="X48" s="116"/>
      <c r="Y48" s="116" t="s">
        <v>815</v>
      </c>
    </row>
    <row r="49" spans="1:25" x14ac:dyDescent="0.3">
      <c r="A49" s="158"/>
      <c r="B49" s="158">
        <v>20</v>
      </c>
      <c r="C49" s="108" t="str">
        <f>IFERROR(VLOOKUP(B49,'Control Sheet_Custom'!$A:$B,2,0),"")</f>
        <v/>
      </c>
      <c r="D49" s="116" t="s">
        <v>811</v>
      </c>
      <c r="E49" s="116"/>
      <c r="F49" s="159" t="s">
        <v>833</v>
      </c>
      <c r="G49" s="116" t="s">
        <v>804</v>
      </c>
      <c r="H49" s="116"/>
      <c r="I49" s="116"/>
      <c r="J49" s="116" t="s">
        <v>817</v>
      </c>
      <c r="K49" s="116" t="s">
        <v>818</v>
      </c>
      <c r="L49" s="109"/>
      <c r="M49" s="117"/>
      <c r="N49" s="117"/>
      <c r="O49" s="116"/>
      <c r="P49" s="116"/>
      <c r="Q49" s="162" t="s">
        <v>851</v>
      </c>
      <c r="R49" s="116"/>
      <c r="S49" s="116"/>
      <c r="T49" s="116" t="s">
        <v>814</v>
      </c>
      <c r="U49" s="116"/>
      <c r="V49" s="116"/>
      <c r="W49" s="116"/>
      <c r="X49" s="116"/>
      <c r="Y49" s="116" t="s">
        <v>815</v>
      </c>
    </row>
    <row r="50" spans="1:25" x14ac:dyDescent="0.3">
      <c r="A50" s="158"/>
      <c r="B50" s="158">
        <v>20</v>
      </c>
      <c r="C50" s="108" t="str">
        <f>IFERROR(VLOOKUP(B50,'Control Sheet_Custom'!$A:$B,2,0),"")</f>
        <v/>
      </c>
      <c r="D50" s="116" t="s">
        <v>811</v>
      </c>
      <c r="E50" s="116"/>
      <c r="F50" s="159" t="s">
        <v>834</v>
      </c>
      <c r="G50" s="116" t="s">
        <v>804</v>
      </c>
      <c r="H50" s="116"/>
      <c r="I50" s="116"/>
      <c r="J50" s="116" t="s">
        <v>817</v>
      </c>
      <c r="K50" s="116" t="s">
        <v>818</v>
      </c>
      <c r="L50" s="109"/>
      <c r="M50" s="117"/>
      <c r="N50" s="117"/>
      <c r="O50" s="116"/>
      <c r="P50" s="116"/>
      <c r="Q50" s="162" t="s">
        <v>852</v>
      </c>
      <c r="R50" s="116"/>
      <c r="S50" s="116"/>
      <c r="T50" s="116" t="s">
        <v>814</v>
      </c>
      <c r="U50" s="116"/>
      <c r="V50" s="116"/>
      <c r="W50" s="116"/>
      <c r="X50" s="116"/>
      <c r="Y50" s="116" t="s">
        <v>815</v>
      </c>
    </row>
    <row r="51" spans="1:25" x14ac:dyDescent="0.3">
      <c r="A51" s="158"/>
      <c r="B51" s="158">
        <v>20</v>
      </c>
      <c r="C51" s="108" t="str">
        <f>IFERROR(VLOOKUP(B51,'Control Sheet_Custom'!$A:$B,2,0),"")</f>
        <v/>
      </c>
      <c r="D51" s="116" t="s">
        <v>811</v>
      </c>
      <c r="E51" s="116"/>
      <c r="F51" s="159" t="s">
        <v>835</v>
      </c>
      <c r="G51" s="116" t="s">
        <v>804</v>
      </c>
      <c r="H51" s="116"/>
      <c r="I51" s="116"/>
      <c r="J51" s="116" t="s">
        <v>817</v>
      </c>
      <c r="K51" s="116" t="s">
        <v>818</v>
      </c>
      <c r="L51" s="109"/>
      <c r="M51" s="117"/>
      <c r="N51" s="117"/>
      <c r="O51" s="116"/>
      <c r="P51" s="116"/>
      <c r="Q51" s="162" t="s">
        <v>853</v>
      </c>
      <c r="R51" s="116"/>
      <c r="S51" s="116"/>
      <c r="T51" s="116" t="s">
        <v>814</v>
      </c>
      <c r="U51" s="116"/>
      <c r="V51" s="116"/>
      <c r="W51" s="116"/>
      <c r="X51" s="116"/>
      <c r="Y51" s="116" t="s">
        <v>815</v>
      </c>
    </row>
    <row r="52" spans="1:25" ht="72.45" customHeight="1" x14ac:dyDescent="0.3">
      <c r="A52" s="108"/>
      <c r="B52" s="116"/>
      <c r="C52" s="108"/>
      <c r="D52" s="116"/>
      <c r="E52" s="116"/>
      <c r="F52" s="116"/>
      <c r="G52" s="116"/>
      <c r="H52" s="108"/>
      <c r="I52" s="116"/>
      <c r="J52" s="116"/>
      <c r="K52" s="116"/>
      <c r="L52" s="114"/>
      <c r="M52" s="117"/>
      <c r="N52" s="117"/>
      <c r="O52" s="116"/>
      <c r="P52" s="116"/>
      <c r="Q52" s="118"/>
      <c r="R52" s="116"/>
      <c r="S52" s="116"/>
      <c r="T52" s="116"/>
      <c r="U52" s="116"/>
      <c r="V52" s="116"/>
      <c r="W52" s="116"/>
      <c r="X52" s="116"/>
      <c r="Y52" s="116"/>
    </row>
    <row r="53" spans="1:25" ht="72.45" customHeight="1" x14ac:dyDescent="0.3">
      <c r="A53" s="108"/>
      <c r="B53" s="116"/>
      <c r="C53" s="108"/>
      <c r="D53" s="116"/>
      <c r="E53" s="116"/>
      <c r="F53" s="116"/>
      <c r="G53" s="116"/>
      <c r="H53" s="108"/>
      <c r="I53" s="116"/>
      <c r="J53" s="116"/>
      <c r="K53" s="116"/>
      <c r="L53" s="114"/>
      <c r="M53" s="117"/>
      <c r="N53" s="117"/>
      <c r="O53" s="116"/>
      <c r="P53" s="116"/>
      <c r="Q53" s="118"/>
      <c r="R53" s="116"/>
      <c r="S53" s="116"/>
      <c r="T53" s="116"/>
      <c r="U53" s="116"/>
      <c r="V53" s="116"/>
      <c r="W53" s="116"/>
      <c r="X53" s="116"/>
      <c r="Y53" s="116"/>
    </row>
    <row r="55" spans="1:25" s="129" customFormat="1" x14ac:dyDescent="0.3">
      <c r="A55" s="158"/>
      <c r="B55" s="158">
        <v>13</v>
      </c>
      <c r="C55" s="158" t="str">
        <f>IFERROR(VLOOKUP(B55,'Control Sheet_Custom'!$A:$B,2,0),"")</f>
        <v/>
      </c>
      <c r="D55" s="159" t="s">
        <v>811</v>
      </c>
      <c r="E55" s="159"/>
      <c r="F55" s="159" t="s">
        <v>829</v>
      </c>
      <c r="G55" s="159" t="s">
        <v>804</v>
      </c>
      <c r="H55" s="159"/>
      <c r="I55" s="159"/>
      <c r="J55" s="159" t="s">
        <v>817</v>
      </c>
      <c r="K55" s="159" t="s">
        <v>818</v>
      </c>
      <c r="L55" s="160"/>
      <c r="M55" s="161"/>
      <c r="N55" s="161"/>
      <c r="O55" s="159"/>
      <c r="P55" s="159"/>
      <c r="Q55" s="162" t="s">
        <v>830</v>
      </c>
      <c r="R55" s="159"/>
      <c r="S55" s="159"/>
      <c r="T55" s="159" t="s">
        <v>814</v>
      </c>
      <c r="U55" s="159"/>
      <c r="V55" s="159"/>
      <c r="W55" s="159"/>
      <c r="X55" s="159"/>
      <c r="Y55" s="159" t="s">
        <v>815</v>
      </c>
    </row>
    <row r="56" spans="1:25" x14ac:dyDescent="0.3">
      <c r="A56" s="158"/>
      <c r="B56" s="158">
        <v>13</v>
      </c>
      <c r="C56" s="108" t="str">
        <f>IFERROR(VLOOKUP(B56,'Control Sheet_Custom'!$A:$B,2,0),"")</f>
        <v/>
      </c>
      <c r="D56" s="116" t="s">
        <v>811</v>
      </c>
      <c r="E56" s="116"/>
      <c r="F56" s="159" t="s">
        <v>831</v>
      </c>
      <c r="G56" s="116" t="s">
        <v>804</v>
      </c>
      <c r="H56" s="116"/>
      <c r="I56" s="116"/>
      <c r="J56" s="116" t="s">
        <v>817</v>
      </c>
      <c r="K56" s="116" t="s">
        <v>818</v>
      </c>
      <c r="L56" s="109"/>
      <c r="M56" s="117"/>
      <c r="N56" s="117"/>
      <c r="O56" s="116"/>
      <c r="P56" s="116"/>
      <c r="Q56" s="162" t="s">
        <v>819</v>
      </c>
      <c r="R56" s="116"/>
      <c r="S56" s="116"/>
      <c r="T56" s="116" t="s">
        <v>814</v>
      </c>
      <c r="U56" s="116"/>
      <c r="V56" s="116"/>
      <c r="W56" s="116"/>
      <c r="X56" s="116"/>
      <c r="Y56" s="116" t="s">
        <v>815</v>
      </c>
    </row>
    <row r="57" spans="1:25" x14ac:dyDescent="0.3">
      <c r="A57" s="158"/>
      <c r="B57" s="158">
        <v>13</v>
      </c>
      <c r="C57" s="108" t="str">
        <f>IFERROR(VLOOKUP(B57,'Control Sheet_Custom'!$A:$B,2,0),"")</f>
        <v/>
      </c>
      <c r="D57" s="116" t="s">
        <v>811</v>
      </c>
      <c r="E57" s="116"/>
      <c r="F57" s="159" t="s">
        <v>832</v>
      </c>
      <c r="G57" s="116" t="s">
        <v>804</v>
      </c>
      <c r="H57" s="116"/>
      <c r="I57" s="116"/>
      <c r="J57" s="116" t="s">
        <v>817</v>
      </c>
      <c r="K57" s="116" t="s">
        <v>818</v>
      </c>
      <c r="L57" s="109"/>
      <c r="M57" s="117"/>
      <c r="N57" s="117"/>
      <c r="O57" s="116"/>
      <c r="P57" s="116"/>
      <c r="Q57" s="162" t="s">
        <v>821</v>
      </c>
      <c r="R57" s="116"/>
      <c r="S57" s="116"/>
      <c r="T57" s="116" t="s">
        <v>814</v>
      </c>
      <c r="U57" s="116"/>
      <c r="V57" s="116"/>
      <c r="W57" s="116"/>
      <c r="X57" s="116"/>
      <c r="Y57" s="116" t="s">
        <v>815</v>
      </c>
    </row>
    <row r="58" spans="1:25" x14ac:dyDescent="0.3">
      <c r="A58" s="158"/>
      <c r="B58" s="158">
        <v>13</v>
      </c>
      <c r="C58" s="108" t="str">
        <f>IFERROR(VLOOKUP(B58,'Control Sheet_Custom'!$A:$B,2,0),"")</f>
        <v/>
      </c>
      <c r="D58" s="116" t="s">
        <v>811</v>
      </c>
      <c r="E58" s="116"/>
      <c r="F58" s="159" t="s">
        <v>833</v>
      </c>
      <c r="G58" s="116" t="s">
        <v>804</v>
      </c>
      <c r="H58" s="116"/>
      <c r="I58" s="116"/>
      <c r="J58" s="116" t="s">
        <v>817</v>
      </c>
      <c r="K58" s="116" t="s">
        <v>818</v>
      </c>
      <c r="L58" s="109"/>
      <c r="M58" s="117"/>
      <c r="N58" s="117"/>
      <c r="O58" s="116"/>
      <c r="P58" s="116"/>
      <c r="Q58" s="162" t="s">
        <v>823</v>
      </c>
      <c r="R58" s="116"/>
      <c r="S58" s="116"/>
      <c r="T58" s="116" t="s">
        <v>814</v>
      </c>
      <c r="U58" s="116"/>
      <c r="V58" s="116"/>
      <c r="W58" s="116"/>
      <c r="X58" s="116"/>
      <c r="Y58" s="116" t="s">
        <v>815</v>
      </c>
    </row>
    <row r="59" spans="1:25" x14ac:dyDescent="0.3">
      <c r="A59" s="158"/>
      <c r="B59" s="158">
        <v>13</v>
      </c>
      <c r="C59" s="108" t="str">
        <f>IFERROR(VLOOKUP(B59,'Control Sheet_Custom'!$A:$B,2,0),"")</f>
        <v/>
      </c>
      <c r="D59" s="116" t="s">
        <v>811</v>
      </c>
      <c r="E59" s="116"/>
      <c r="F59" s="159" t="s">
        <v>834</v>
      </c>
      <c r="G59" s="116" t="s">
        <v>804</v>
      </c>
      <c r="H59" s="116"/>
      <c r="I59" s="116"/>
      <c r="J59" s="116" t="s">
        <v>817</v>
      </c>
      <c r="K59" s="116" t="s">
        <v>818</v>
      </c>
      <c r="L59" s="109"/>
      <c r="M59" s="117"/>
      <c r="N59" s="117"/>
      <c r="O59" s="116"/>
      <c r="P59" s="116"/>
      <c r="Q59" s="162" t="s">
        <v>825</v>
      </c>
      <c r="R59" s="116"/>
      <c r="S59" s="116"/>
      <c r="T59" s="116" t="s">
        <v>814</v>
      </c>
      <c r="U59" s="116"/>
      <c r="V59" s="116"/>
      <c r="W59" s="116"/>
      <c r="X59" s="116"/>
      <c r="Y59" s="116" t="s">
        <v>815</v>
      </c>
    </row>
    <row r="60" spans="1:25" x14ac:dyDescent="0.3">
      <c r="A60" s="158"/>
      <c r="B60" s="158">
        <v>13</v>
      </c>
      <c r="C60" s="108" t="str">
        <f>IFERROR(VLOOKUP(B60,'Control Sheet_Custom'!$A:$B,2,0),"")</f>
        <v/>
      </c>
      <c r="D60" s="116" t="s">
        <v>811</v>
      </c>
      <c r="E60" s="116"/>
      <c r="F60" s="159" t="s">
        <v>835</v>
      </c>
      <c r="G60" s="116" t="s">
        <v>804</v>
      </c>
      <c r="H60" s="116"/>
      <c r="I60" s="116"/>
      <c r="J60" s="116" t="s">
        <v>817</v>
      </c>
      <c r="K60" s="116" t="s">
        <v>818</v>
      </c>
      <c r="L60" s="109"/>
      <c r="M60" s="117"/>
      <c r="N60" s="117"/>
      <c r="O60" s="116"/>
      <c r="P60" s="116"/>
      <c r="Q60" s="162" t="s">
        <v>827</v>
      </c>
      <c r="R60" s="116"/>
      <c r="S60" s="116"/>
      <c r="T60" s="116" t="s">
        <v>814</v>
      </c>
      <c r="U60" s="116"/>
      <c r="V60" s="116"/>
      <c r="W60" s="116"/>
      <c r="X60" s="116"/>
      <c r="Y60" s="116" t="s">
        <v>815</v>
      </c>
    </row>
    <row r="62" spans="1:25" s="129" customFormat="1" x14ac:dyDescent="0.3">
      <c r="A62" s="158"/>
      <c r="B62" s="158">
        <v>8</v>
      </c>
      <c r="C62" s="158" t="str">
        <f>IFERROR(VLOOKUP(B62,'Control Sheet_Custom'!$A:$B,2,0),"")</f>
        <v/>
      </c>
      <c r="D62" s="159" t="s">
        <v>811</v>
      </c>
      <c r="E62" s="159"/>
      <c r="F62" s="159" t="s">
        <v>829</v>
      </c>
      <c r="G62" s="159" t="s">
        <v>804</v>
      </c>
      <c r="H62" s="159"/>
      <c r="I62" s="159"/>
      <c r="J62" s="159" t="s">
        <v>817</v>
      </c>
      <c r="K62" s="159" t="s">
        <v>818</v>
      </c>
      <c r="L62" s="160"/>
      <c r="M62" s="161"/>
      <c r="N62" s="161"/>
      <c r="O62" s="159"/>
      <c r="P62" s="159"/>
      <c r="Q62" s="162" t="s">
        <v>854</v>
      </c>
      <c r="R62" s="159"/>
      <c r="S62" s="159"/>
      <c r="T62" s="159" t="s">
        <v>814</v>
      </c>
      <c r="U62" s="159"/>
      <c r="V62" s="159"/>
      <c r="W62" s="159"/>
      <c r="X62" s="159"/>
      <c r="Y62" s="159" t="s">
        <v>815</v>
      </c>
    </row>
    <row r="63" spans="1:25" s="129" customFormat="1" x14ac:dyDescent="0.3">
      <c r="A63" s="158"/>
      <c r="B63" s="158">
        <v>8</v>
      </c>
      <c r="C63" s="158" t="str">
        <f>IFERROR(VLOOKUP(B63,'Control Sheet_Custom'!$A:$B,2,0),"")</f>
        <v/>
      </c>
      <c r="D63" s="159" t="s">
        <v>811</v>
      </c>
      <c r="E63" s="159"/>
      <c r="F63" s="159" t="s">
        <v>831</v>
      </c>
      <c r="G63" s="159" t="s">
        <v>804</v>
      </c>
      <c r="H63" s="159"/>
      <c r="I63" s="159"/>
      <c r="J63" s="159" t="s">
        <v>817</v>
      </c>
      <c r="K63" s="159" t="s">
        <v>818</v>
      </c>
      <c r="L63" s="160"/>
      <c r="M63" s="161"/>
      <c r="N63" s="161"/>
      <c r="O63" s="159"/>
      <c r="P63" s="159"/>
      <c r="Q63" s="162" t="s">
        <v>855</v>
      </c>
      <c r="R63" s="159"/>
      <c r="S63" s="159"/>
      <c r="T63" s="159" t="s">
        <v>814</v>
      </c>
      <c r="U63" s="159"/>
      <c r="V63" s="159"/>
      <c r="W63" s="159"/>
      <c r="X63" s="159"/>
      <c r="Y63" s="159" t="s">
        <v>815</v>
      </c>
    </row>
    <row r="64" spans="1:25" s="129" customFormat="1" x14ac:dyDescent="0.3">
      <c r="A64" s="158"/>
      <c r="B64" s="158">
        <v>8</v>
      </c>
      <c r="C64" s="158" t="str">
        <f>IFERROR(VLOOKUP(B64,'Control Sheet_Custom'!$A:$B,2,0),"")</f>
        <v/>
      </c>
      <c r="D64" s="159" t="s">
        <v>811</v>
      </c>
      <c r="E64" s="159"/>
      <c r="F64" s="159" t="s">
        <v>832</v>
      </c>
      <c r="G64" s="159" t="s">
        <v>804</v>
      </c>
      <c r="H64" s="159"/>
      <c r="I64" s="159"/>
      <c r="J64" s="159" t="s">
        <v>817</v>
      </c>
      <c r="K64" s="159" t="s">
        <v>818</v>
      </c>
      <c r="L64" s="160"/>
      <c r="M64" s="161"/>
      <c r="N64" s="161"/>
      <c r="O64" s="159"/>
      <c r="P64" s="159"/>
      <c r="Q64" s="162" t="s">
        <v>856</v>
      </c>
      <c r="R64" s="159"/>
      <c r="S64" s="159"/>
      <c r="T64" s="159" t="s">
        <v>814</v>
      </c>
      <c r="U64" s="159"/>
      <c r="V64" s="159"/>
      <c r="W64" s="159"/>
      <c r="X64" s="159"/>
      <c r="Y64" s="159" t="s">
        <v>815</v>
      </c>
    </row>
    <row r="65" spans="1:25" s="129" customFormat="1" x14ac:dyDescent="0.3">
      <c r="A65" s="158"/>
      <c r="B65" s="158">
        <v>8</v>
      </c>
      <c r="C65" s="158" t="str">
        <f>IFERROR(VLOOKUP(B65,'Control Sheet_Custom'!$A:$B,2,0),"")</f>
        <v/>
      </c>
      <c r="D65" s="159" t="s">
        <v>811</v>
      </c>
      <c r="E65" s="159"/>
      <c r="F65" s="159" t="s">
        <v>833</v>
      </c>
      <c r="G65" s="159" t="s">
        <v>804</v>
      </c>
      <c r="H65" s="159"/>
      <c r="I65" s="159"/>
      <c r="J65" s="159" t="s">
        <v>817</v>
      </c>
      <c r="K65" s="159" t="s">
        <v>818</v>
      </c>
      <c r="L65" s="160"/>
      <c r="M65" s="161"/>
      <c r="N65" s="161"/>
      <c r="O65" s="159"/>
      <c r="P65" s="159"/>
      <c r="Q65" s="162" t="s">
        <v>857</v>
      </c>
      <c r="R65" s="159"/>
      <c r="S65" s="159"/>
      <c r="T65" s="159" t="s">
        <v>814</v>
      </c>
      <c r="U65" s="159"/>
      <c r="V65" s="159"/>
      <c r="W65" s="159"/>
      <c r="X65" s="159"/>
      <c r="Y65" s="159" t="s">
        <v>815</v>
      </c>
    </row>
    <row r="66" spans="1:25" s="129" customFormat="1" x14ac:dyDescent="0.3">
      <c r="A66" s="158"/>
      <c r="B66" s="158">
        <v>8</v>
      </c>
      <c r="C66" s="158" t="str">
        <f>IFERROR(VLOOKUP(B66,'Control Sheet_Custom'!$A:$B,2,0),"")</f>
        <v/>
      </c>
      <c r="D66" s="159" t="s">
        <v>811</v>
      </c>
      <c r="E66" s="159"/>
      <c r="F66" s="159" t="s">
        <v>834</v>
      </c>
      <c r="G66" s="159" t="s">
        <v>804</v>
      </c>
      <c r="H66" s="159"/>
      <c r="I66" s="159"/>
      <c r="J66" s="159" t="s">
        <v>817</v>
      </c>
      <c r="K66" s="159" t="s">
        <v>818</v>
      </c>
      <c r="L66" s="160"/>
      <c r="M66" s="161"/>
      <c r="N66" s="161"/>
      <c r="O66" s="159"/>
      <c r="P66" s="159"/>
      <c r="Q66" s="162" t="s">
        <v>858</v>
      </c>
      <c r="R66" s="159"/>
      <c r="S66" s="159"/>
      <c r="T66" s="159" t="s">
        <v>814</v>
      </c>
      <c r="U66" s="159"/>
      <c r="V66" s="159"/>
      <c r="W66" s="159"/>
      <c r="X66" s="159"/>
      <c r="Y66" s="159" t="s">
        <v>815</v>
      </c>
    </row>
    <row r="67" spans="1:25" s="129" customFormat="1" x14ac:dyDescent="0.3">
      <c r="A67" s="158"/>
      <c r="B67" s="158">
        <v>8</v>
      </c>
      <c r="C67" s="158" t="str">
        <f>IFERROR(VLOOKUP(B67,'Control Sheet_Custom'!$A:$B,2,0),"")</f>
        <v/>
      </c>
      <c r="D67" s="159" t="s">
        <v>811</v>
      </c>
      <c r="E67" s="159"/>
      <c r="F67" s="159" t="s">
        <v>835</v>
      </c>
      <c r="G67" s="159" t="s">
        <v>804</v>
      </c>
      <c r="H67" s="159"/>
      <c r="I67" s="159"/>
      <c r="J67" s="159" t="s">
        <v>817</v>
      </c>
      <c r="K67" s="159" t="s">
        <v>818</v>
      </c>
      <c r="L67" s="160"/>
      <c r="M67" s="161"/>
      <c r="N67" s="161"/>
      <c r="O67" s="159"/>
      <c r="P67" s="159"/>
      <c r="Q67" s="162" t="s">
        <v>859</v>
      </c>
      <c r="R67" s="159"/>
      <c r="S67" s="159"/>
      <c r="T67" s="159" t="s">
        <v>814</v>
      </c>
      <c r="U67" s="159"/>
      <c r="V67" s="159"/>
      <c r="W67" s="159"/>
      <c r="X67" s="159"/>
      <c r="Y67" s="159" t="s">
        <v>815</v>
      </c>
    </row>
    <row r="68" spans="1:25" x14ac:dyDescent="0.3">
      <c r="A68" s="108"/>
      <c r="B68" s="116"/>
      <c r="C68" s="158" t="str">
        <f>IFERROR(VLOOKUP(B68,'Control Sheet_Custom'!$A:$B,2,0),"")</f>
        <v/>
      </c>
      <c r="D68" s="116"/>
      <c r="E68" s="116"/>
      <c r="F68" s="116"/>
      <c r="G68" s="116"/>
      <c r="H68" s="116"/>
      <c r="I68" s="116"/>
      <c r="J68" s="116"/>
      <c r="K68" s="116"/>
      <c r="L68" s="109"/>
      <c r="M68" s="117"/>
      <c r="N68" s="117"/>
      <c r="O68" s="116"/>
      <c r="P68" s="116"/>
      <c r="Q68" s="118"/>
      <c r="R68" s="116"/>
      <c r="S68" s="116"/>
      <c r="T68" s="116"/>
      <c r="U68" s="116"/>
      <c r="V68" s="116"/>
      <c r="W68" s="116"/>
      <c r="X68" s="116"/>
      <c r="Y68" s="116"/>
    </row>
    <row r="69" spans="1:25" ht="43.5" customHeight="1" x14ac:dyDescent="0.3">
      <c r="A69" s="108"/>
      <c r="B69" s="158">
        <v>8</v>
      </c>
      <c r="C69" s="158" t="str">
        <f>IFERROR(VLOOKUP(B69,'Control Sheet_Custom'!$A:$B,2,0),"")</f>
        <v/>
      </c>
      <c r="D69" s="116" t="s">
        <v>811</v>
      </c>
      <c r="E69" s="116"/>
      <c r="F69" s="116" t="s">
        <v>860</v>
      </c>
      <c r="G69" s="116" t="s">
        <v>861</v>
      </c>
      <c r="H69" s="108" t="s">
        <v>696</v>
      </c>
      <c r="I69" s="116"/>
      <c r="J69" s="116" t="s">
        <v>813</v>
      </c>
      <c r="K69" s="116"/>
      <c r="L69" s="114" t="s">
        <v>862</v>
      </c>
      <c r="M69" s="117" t="s">
        <v>13</v>
      </c>
      <c r="N69" s="114" t="s">
        <v>863</v>
      </c>
      <c r="O69" s="117" t="s">
        <v>13</v>
      </c>
      <c r="P69" s="116" t="s">
        <v>641</v>
      </c>
      <c r="Q69" s="118"/>
      <c r="R69" s="116"/>
      <c r="S69" s="116"/>
      <c r="T69" s="116" t="s">
        <v>814</v>
      </c>
      <c r="U69" s="116"/>
      <c r="V69" s="116"/>
      <c r="W69" s="116"/>
      <c r="X69" s="116"/>
      <c r="Y69" s="116" t="s">
        <v>815</v>
      </c>
    </row>
    <row r="70" spans="1:25" ht="43.5" customHeight="1" x14ac:dyDescent="0.3">
      <c r="A70" s="108"/>
      <c r="B70" s="158">
        <v>8</v>
      </c>
      <c r="C70" s="158" t="str">
        <f>IFERROR(VLOOKUP(B70,'Control Sheet_Custom'!$A:$B,2,0),"")</f>
        <v/>
      </c>
      <c r="D70" s="116" t="s">
        <v>811</v>
      </c>
      <c r="E70" s="116"/>
      <c r="F70" s="116" t="s">
        <v>864</v>
      </c>
      <c r="G70" s="116" t="s">
        <v>861</v>
      </c>
      <c r="H70" s="108" t="s">
        <v>696</v>
      </c>
      <c r="I70" s="116"/>
      <c r="J70" s="116" t="s">
        <v>813</v>
      </c>
      <c r="K70" s="116"/>
      <c r="L70" s="114" t="s">
        <v>863</v>
      </c>
      <c r="M70" s="117" t="s">
        <v>13</v>
      </c>
      <c r="N70" s="114" t="s">
        <v>865</v>
      </c>
      <c r="O70" s="117" t="s">
        <v>13</v>
      </c>
      <c r="P70" s="116" t="s">
        <v>641</v>
      </c>
      <c r="Q70" s="118"/>
      <c r="R70" s="116"/>
      <c r="S70" s="116"/>
      <c r="T70" s="116" t="s">
        <v>814</v>
      </c>
      <c r="U70" s="116"/>
      <c r="V70" s="116"/>
      <c r="W70" s="116"/>
      <c r="X70" s="116"/>
      <c r="Y70" s="116" t="s">
        <v>815</v>
      </c>
    </row>
    <row r="71" spans="1:25" ht="58.05" customHeight="1" x14ac:dyDescent="0.3">
      <c r="A71" s="108"/>
      <c r="B71" s="158">
        <v>8</v>
      </c>
      <c r="C71" s="158" t="str">
        <f>IFERROR(VLOOKUP(B71,'Control Sheet_Custom'!$A:$B,2,0),"")</f>
        <v/>
      </c>
      <c r="D71" s="116" t="s">
        <v>811</v>
      </c>
      <c r="E71" s="116"/>
      <c r="F71" s="116" t="s">
        <v>866</v>
      </c>
      <c r="G71" s="116" t="s">
        <v>861</v>
      </c>
      <c r="H71" s="108" t="s">
        <v>696</v>
      </c>
      <c r="I71" s="116"/>
      <c r="J71" s="116" t="s">
        <v>813</v>
      </c>
      <c r="K71" s="116"/>
      <c r="L71" s="114" t="s">
        <v>865</v>
      </c>
      <c r="M71" s="117" t="s">
        <v>13</v>
      </c>
      <c r="N71" s="114" t="s">
        <v>867</v>
      </c>
      <c r="O71" s="117" t="s">
        <v>13</v>
      </c>
      <c r="P71" s="116" t="s">
        <v>641</v>
      </c>
      <c r="Q71" s="118"/>
      <c r="R71" s="116"/>
      <c r="S71" s="116"/>
      <c r="T71" s="116" t="s">
        <v>814</v>
      </c>
      <c r="U71" s="116"/>
      <c r="V71" s="116"/>
      <c r="W71" s="116"/>
      <c r="X71" s="116"/>
      <c r="Y71" s="116" t="s">
        <v>815</v>
      </c>
    </row>
    <row r="72" spans="1:25" ht="43.5" customHeight="1" x14ac:dyDescent="0.3">
      <c r="A72" s="108"/>
      <c r="B72" s="158">
        <v>8</v>
      </c>
      <c r="C72" s="158" t="str">
        <f>IFERROR(VLOOKUP(B72,'Control Sheet_Custom'!$A:$B,2,0),"")</f>
        <v/>
      </c>
      <c r="D72" s="116" t="s">
        <v>811</v>
      </c>
      <c r="E72" s="116"/>
      <c r="F72" s="116" t="s">
        <v>868</v>
      </c>
      <c r="G72" s="116" t="s">
        <v>861</v>
      </c>
      <c r="H72" s="108" t="s">
        <v>696</v>
      </c>
      <c r="I72" s="116"/>
      <c r="J72" s="116" t="s">
        <v>813</v>
      </c>
      <c r="K72" s="116"/>
      <c r="L72" s="114" t="s">
        <v>869</v>
      </c>
      <c r="M72" s="117" t="s">
        <v>13</v>
      </c>
      <c r="N72" s="114" t="s">
        <v>870</v>
      </c>
      <c r="O72" s="117" t="s">
        <v>13</v>
      </c>
      <c r="P72" s="116" t="s">
        <v>641</v>
      </c>
      <c r="Q72" s="118"/>
      <c r="R72" s="116"/>
      <c r="S72" s="116"/>
      <c r="T72" s="116" t="s">
        <v>814</v>
      </c>
      <c r="U72" s="116"/>
      <c r="V72" s="116"/>
      <c r="W72" s="116"/>
      <c r="X72" s="116"/>
      <c r="Y72" s="116" t="s">
        <v>815</v>
      </c>
    </row>
    <row r="73" spans="1:25" ht="43.5" customHeight="1" x14ac:dyDescent="0.3">
      <c r="A73" s="108"/>
      <c r="B73" s="158">
        <v>8</v>
      </c>
      <c r="C73" s="158" t="str">
        <f>IFERROR(VLOOKUP(B73,'Control Sheet_Custom'!$A:$B,2,0),"")</f>
        <v/>
      </c>
      <c r="D73" s="116" t="s">
        <v>811</v>
      </c>
      <c r="E73" s="116"/>
      <c r="F73" s="116" t="s">
        <v>871</v>
      </c>
      <c r="G73" s="116" t="s">
        <v>861</v>
      </c>
      <c r="H73" s="108" t="s">
        <v>696</v>
      </c>
      <c r="I73" s="116"/>
      <c r="J73" s="116" t="s">
        <v>813</v>
      </c>
      <c r="K73" s="116"/>
      <c r="L73" s="114" t="s">
        <v>870</v>
      </c>
      <c r="M73" s="117" t="s">
        <v>13</v>
      </c>
      <c r="N73" s="114" t="s">
        <v>872</v>
      </c>
      <c r="O73" s="117" t="s">
        <v>13</v>
      </c>
      <c r="P73" s="116" t="s">
        <v>641</v>
      </c>
      <c r="Q73" s="118"/>
      <c r="R73" s="116"/>
      <c r="S73" s="116"/>
      <c r="T73" s="116" t="s">
        <v>814</v>
      </c>
      <c r="U73" s="116"/>
      <c r="V73" s="116"/>
      <c r="W73" s="116"/>
      <c r="X73" s="116"/>
      <c r="Y73" s="116" t="s">
        <v>815</v>
      </c>
    </row>
    <row r="74" spans="1:25" ht="58.05" customHeight="1" x14ac:dyDescent="0.3">
      <c r="A74" s="108"/>
      <c r="B74" s="158">
        <v>8</v>
      </c>
      <c r="C74" s="158" t="str">
        <f>IFERROR(VLOOKUP(B74,'Control Sheet_Custom'!$A:$B,2,0),"")</f>
        <v/>
      </c>
      <c r="D74" s="116" t="s">
        <v>811</v>
      </c>
      <c r="E74" s="116"/>
      <c r="F74" s="116" t="s">
        <v>873</v>
      </c>
      <c r="G74" s="116" t="s">
        <v>861</v>
      </c>
      <c r="H74" s="108" t="s">
        <v>696</v>
      </c>
      <c r="I74" s="116"/>
      <c r="J74" s="116" t="s">
        <v>813</v>
      </c>
      <c r="K74" s="116"/>
      <c r="L74" s="114" t="s">
        <v>872</v>
      </c>
      <c r="M74" s="117" t="s">
        <v>13</v>
      </c>
      <c r="N74" s="114" t="s">
        <v>874</v>
      </c>
      <c r="O74" s="117" t="s">
        <v>13</v>
      </c>
      <c r="P74" s="116" t="s">
        <v>641</v>
      </c>
      <c r="Q74" s="118"/>
      <c r="R74" s="116"/>
      <c r="S74" s="116"/>
      <c r="T74" s="116" t="s">
        <v>814</v>
      </c>
      <c r="U74" s="116"/>
      <c r="V74" s="116"/>
      <c r="W74" s="116"/>
      <c r="X74" s="116"/>
      <c r="Y74" s="116" t="s">
        <v>815</v>
      </c>
    </row>
    <row r="75" spans="1:25" ht="43.5" customHeight="1" x14ac:dyDescent="0.3">
      <c r="A75" s="108"/>
      <c r="B75" s="158">
        <v>8</v>
      </c>
      <c r="C75" s="158" t="str">
        <f>IFERROR(VLOOKUP(B75,'Control Sheet_Custom'!$A:$B,2,0),"")</f>
        <v/>
      </c>
      <c r="D75" s="116" t="s">
        <v>811</v>
      </c>
      <c r="E75" s="116"/>
      <c r="F75" s="116" t="s">
        <v>875</v>
      </c>
      <c r="G75" s="116" t="s">
        <v>861</v>
      </c>
      <c r="H75" s="108" t="s">
        <v>696</v>
      </c>
      <c r="I75" s="116"/>
      <c r="J75" s="116" t="s">
        <v>813</v>
      </c>
      <c r="K75" s="116"/>
      <c r="L75" s="114" t="s">
        <v>876</v>
      </c>
      <c r="M75" s="117" t="s">
        <v>13</v>
      </c>
      <c r="N75" s="114" t="s">
        <v>877</v>
      </c>
      <c r="O75" s="117" t="s">
        <v>13</v>
      </c>
      <c r="P75" s="116" t="s">
        <v>641</v>
      </c>
      <c r="Q75" s="118"/>
      <c r="R75" s="116"/>
      <c r="S75" s="116"/>
      <c r="T75" s="116" t="s">
        <v>814</v>
      </c>
      <c r="U75" s="116"/>
      <c r="V75" s="116"/>
      <c r="W75" s="116"/>
      <c r="X75" s="116"/>
      <c r="Y75" s="116" t="s">
        <v>815</v>
      </c>
    </row>
    <row r="76" spans="1:25" ht="43.5" customHeight="1" x14ac:dyDescent="0.3">
      <c r="A76" s="108"/>
      <c r="B76" s="158">
        <v>8</v>
      </c>
      <c r="C76" s="158" t="str">
        <f>IFERROR(VLOOKUP(B76,'Control Sheet_Custom'!$A:$B,2,0),"")</f>
        <v/>
      </c>
      <c r="D76" s="116" t="s">
        <v>811</v>
      </c>
      <c r="E76" s="116"/>
      <c r="F76" s="116" t="s">
        <v>878</v>
      </c>
      <c r="G76" s="116" t="s">
        <v>861</v>
      </c>
      <c r="H76" s="108" t="s">
        <v>696</v>
      </c>
      <c r="I76" s="116"/>
      <c r="J76" s="116" t="s">
        <v>813</v>
      </c>
      <c r="K76" s="116"/>
      <c r="L76" s="114" t="s">
        <v>877</v>
      </c>
      <c r="M76" s="117" t="s">
        <v>13</v>
      </c>
      <c r="N76" s="114" t="s">
        <v>879</v>
      </c>
      <c r="O76" s="117" t="s">
        <v>13</v>
      </c>
      <c r="P76" s="116" t="s">
        <v>641</v>
      </c>
      <c r="Q76" s="118"/>
      <c r="R76" s="116"/>
      <c r="S76" s="116"/>
      <c r="T76" s="116" t="s">
        <v>814</v>
      </c>
      <c r="U76" s="116"/>
      <c r="V76" s="116"/>
      <c r="W76" s="116"/>
      <c r="X76" s="116"/>
      <c r="Y76" s="116" t="s">
        <v>815</v>
      </c>
    </row>
    <row r="77" spans="1:25" ht="58.05" customHeight="1" x14ac:dyDescent="0.3">
      <c r="A77" s="108"/>
      <c r="B77" s="158">
        <v>8</v>
      </c>
      <c r="C77" s="158" t="str">
        <f>IFERROR(VLOOKUP(B77,'Control Sheet_Custom'!$A:$B,2,0),"")</f>
        <v/>
      </c>
      <c r="D77" s="116" t="s">
        <v>811</v>
      </c>
      <c r="E77" s="116"/>
      <c r="F77" s="116" t="s">
        <v>880</v>
      </c>
      <c r="G77" s="116" t="s">
        <v>861</v>
      </c>
      <c r="H77" s="108" t="s">
        <v>696</v>
      </c>
      <c r="I77" s="116"/>
      <c r="J77" s="116" t="s">
        <v>813</v>
      </c>
      <c r="K77" s="116"/>
      <c r="L77" s="114" t="s">
        <v>879</v>
      </c>
      <c r="M77" s="117" t="s">
        <v>13</v>
      </c>
      <c r="N77" s="114" t="s">
        <v>881</v>
      </c>
      <c r="O77" s="117" t="s">
        <v>13</v>
      </c>
      <c r="P77" s="116" t="s">
        <v>641</v>
      </c>
      <c r="Q77" s="118"/>
      <c r="R77" s="116"/>
      <c r="S77" s="116"/>
      <c r="T77" s="116" t="s">
        <v>814</v>
      </c>
      <c r="U77" s="116"/>
      <c r="V77" s="116"/>
      <c r="W77" s="116"/>
      <c r="X77" s="116"/>
      <c r="Y77" s="116" t="s">
        <v>815</v>
      </c>
    </row>
    <row r="78" spans="1:25" ht="43.5" customHeight="1" x14ac:dyDescent="0.3">
      <c r="A78" s="108"/>
      <c r="B78" s="158">
        <v>8</v>
      </c>
      <c r="C78" s="158" t="str">
        <f>IFERROR(VLOOKUP(B78,'Control Sheet_Custom'!$A:$B,2,0),"")</f>
        <v/>
      </c>
      <c r="D78" s="116" t="s">
        <v>811</v>
      </c>
      <c r="E78" s="116"/>
      <c r="F78" s="116" t="s">
        <v>882</v>
      </c>
      <c r="G78" s="116" t="s">
        <v>861</v>
      </c>
      <c r="H78" s="108" t="s">
        <v>696</v>
      </c>
      <c r="I78" s="116"/>
      <c r="J78" s="116" t="s">
        <v>813</v>
      </c>
      <c r="K78" s="116"/>
      <c r="L78" s="114" t="s">
        <v>883</v>
      </c>
      <c r="M78" s="117" t="s">
        <v>13</v>
      </c>
      <c r="N78" s="114" t="s">
        <v>884</v>
      </c>
      <c r="O78" s="117" t="s">
        <v>13</v>
      </c>
      <c r="P78" s="116" t="s">
        <v>641</v>
      </c>
      <c r="Q78" s="118"/>
      <c r="R78" s="116"/>
      <c r="S78" s="116"/>
      <c r="T78" s="116" t="s">
        <v>814</v>
      </c>
      <c r="U78" s="116"/>
      <c r="V78" s="116"/>
      <c r="W78" s="116"/>
      <c r="X78" s="116"/>
      <c r="Y78" s="116" t="s">
        <v>815</v>
      </c>
    </row>
    <row r="79" spans="1:25" ht="43.5" customHeight="1" x14ac:dyDescent="0.3">
      <c r="A79" s="108"/>
      <c r="B79" s="158">
        <v>8</v>
      </c>
      <c r="C79" s="158" t="str">
        <f>IFERROR(VLOOKUP(B79,'Control Sheet_Custom'!$A:$B,2,0),"")</f>
        <v/>
      </c>
      <c r="D79" s="116" t="s">
        <v>811</v>
      </c>
      <c r="E79" s="116"/>
      <c r="F79" s="116" t="s">
        <v>885</v>
      </c>
      <c r="G79" s="116" t="s">
        <v>861</v>
      </c>
      <c r="H79" s="108" t="s">
        <v>696</v>
      </c>
      <c r="I79" s="116"/>
      <c r="J79" s="116" t="s">
        <v>813</v>
      </c>
      <c r="K79" s="116"/>
      <c r="L79" s="114" t="s">
        <v>884</v>
      </c>
      <c r="M79" s="117" t="s">
        <v>13</v>
      </c>
      <c r="N79" s="114" t="s">
        <v>886</v>
      </c>
      <c r="O79" s="117" t="s">
        <v>13</v>
      </c>
      <c r="P79" s="116" t="s">
        <v>641</v>
      </c>
      <c r="Q79" s="118"/>
      <c r="R79" s="116"/>
      <c r="S79" s="116"/>
      <c r="T79" s="116" t="s">
        <v>814</v>
      </c>
      <c r="U79" s="116"/>
      <c r="V79" s="116"/>
      <c r="W79" s="116"/>
      <c r="X79" s="116"/>
      <c r="Y79" s="116" t="s">
        <v>815</v>
      </c>
    </row>
    <row r="80" spans="1:25" ht="58.05" customHeight="1" x14ac:dyDescent="0.3">
      <c r="A80" s="108"/>
      <c r="B80" s="158">
        <v>8</v>
      </c>
      <c r="C80" s="158" t="str">
        <f>IFERROR(VLOOKUP(B80,'Control Sheet_Custom'!$A:$B,2,0),"")</f>
        <v/>
      </c>
      <c r="D80" s="116" t="s">
        <v>811</v>
      </c>
      <c r="E80" s="116"/>
      <c r="F80" s="116" t="s">
        <v>887</v>
      </c>
      <c r="G80" s="116" t="s">
        <v>861</v>
      </c>
      <c r="H80" s="108" t="s">
        <v>696</v>
      </c>
      <c r="I80" s="116"/>
      <c r="J80" s="116" t="s">
        <v>813</v>
      </c>
      <c r="K80" s="116"/>
      <c r="L80" s="114" t="s">
        <v>886</v>
      </c>
      <c r="M80" s="117" t="s">
        <v>13</v>
      </c>
      <c r="N80" s="114" t="s">
        <v>888</v>
      </c>
      <c r="O80" s="117" t="s">
        <v>13</v>
      </c>
      <c r="P80" s="116" t="s">
        <v>641</v>
      </c>
      <c r="Q80" s="118"/>
      <c r="R80" s="116"/>
      <c r="S80" s="116"/>
      <c r="T80" s="116" t="s">
        <v>814</v>
      </c>
      <c r="U80" s="116"/>
      <c r="V80" s="116"/>
      <c r="W80" s="116"/>
      <c r="X80" s="116"/>
      <c r="Y80" s="116" t="s">
        <v>815</v>
      </c>
    </row>
    <row r="81" spans="1:25" ht="43.5" customHeight="1" x14ac:dyDescent="0.3">
      <c r="A81" s="108"/>
      <c r="B81" s="158">
        <v>8</v>
      </c>
      <c r="C81" s="158" t="str">
        <f>IFERROR(VLOOKUP(B81,'Control Sheet_Custom'!$A:$B,2,0),"")</f>
        <v/>
      </c>
      <c r="D81" s="116" t="s">
        <v>811</v>
      </c>
      <c r="E81" s="116"/>
      <c r="F81" s="116" t="s">
        <v>889</v>
      </c>
      <c r="G81" s="116" t="s">
        <v>861</v>
      </c>
      <c r="H81" s="108" t="s">
        <v>696</v>
      </c>
      <c r="I81" s="116"/>
      <c r="J81" s="116" t="s">
        <v>813</v>
      </c>
      <c r="K81" s="116"/>
      <c r="L81" s="114" t="s">
        <v>890</v>
      </c>
      <c r="M81" s="117" t="s">
        <v>13</v>
      </c>
      <c r="N81" s="114" t="s">
        <v>891</v>
      </c>
      <c r="O81" s="117" t="s">
        <v>13</v>
      </c>
      <c r="P81" s="116" t="s">
        <v>641</v>
      </c>
      <c r="Q81" s="118"/>
      <c r="R81" s="116"/>
      <c r="S81" s="116"/>
      <c r="T81" s="116" t="s">
        <v>814</v>
      </c>
      <c r="U81" s="116"/>
      <c r="V81" s="116"/>
      <c r="W81" s="116"/>
      <c r="X81" s="116"/>
      <c r="Y81" s="116" t="s">
        <v>815</v>
      </c>
    </row>
    <row r="82" spans="1:25" ht="43.5" customHeight="1" x14ac:dyDescent="0.3">
      <c r="A82" s="108"/>
      <c r="B82" s="158">
        <v>8</v>
      </c>
      <c r="C82" s="158" t="str">
        <f>IFERROR(VLOOKUP(B82,'Control Sheet_Custom'!$A:$B,2,0),"")</f>
        <v/>
      </c>
      <c r="D82" s="116" t="s">
        <v>811</v>
      </c>
      <c r="E82" s="116"/>
      <c r="F82" s="116" t="s">
        <v>892</v>
      </c>
      <c r="G82" s="116" t="s">
        <v>861</v>
      </c>
      <c r="H82" s="108" t="s">
        <v>696</v>
      </c>
      <c r="I82" s="116"/>
      <c r="J82" s="116" t="s">
        <v>813</v>
      </c>
      <c r="K82" s="116"/>
      <c r="L82" s="114" t="s">
        <v>891</v>
      </c>
      <c r="M82" s="117" t="s">
        <v>13</v>
      </c>
      <c r="N82" s="114" t="s">
        <v>893</v>
      </c>
      <c r="O82" s="117" t="s">
        <v>13</v>
      </c>
      <c r="P82" s="116" t="s">
        <v>641</v>
      </c>
      <c r="Q82" s="118"/>
      <c r="R82" s="116"/>
      <c r="S82" s="116"/>
      <c r="T82" s="116" t="s">
        <v>814</v>
      </c>
      <c r="U82" s="116"/>
      <c r="V82" s="116"/>
      <c r="W82" s="116"/>
      <c r="X82" s="116"/>
      <c r="Y82" s="116" t="s">
        <v>815</v>
      </c>
    </row>
    <row r="83" spans="1:25" ht="58.05" customHeight="1" x14ac:dyDescent="0.3">
      <c r="A83" s="108"/>
      <c r="B83" s="158">
        <v>8</v>
      </c>
      <c r="C83" s="158" t="str">
        <f>IFERROR(VLOOKUP(B83,'Control Sheet_Custom'!$A:$B,2,0),"")</f>
        <v/>
      </c>
      <c r="D83" s="116" t="s">
        <v>811</v>
      </c>
      <c r="E83" s="116"/>
      <c r="F83" s="116" t="s">
        <v>894</v>
      </c>
      <c r="G83" s="116" t="s">
        <v>861</v>
      </c>
      <c r="H83" s="108" t="s">
        <v>696</v>
      </c>
      <c r="I83" s="116"/>
      <c r="J83" s="116" t="s">
        <v>813</v>
      </c>
      <c r="K83" s="116"/>
      <c r="L83" s="114" t="s">
        <v>893</v>
      </c>
      <c r="M83" s="117" t="s">
        <v>13</v>
      </c>
      <c r="N83" s="114" t="s">
        <v>895</v>
      </c>
      <c r="O83" s="117" t="s">
        <v>13</v>
      </c>
      <c r="P83" s="116" t="s">
        <v>641</v>
      </c>
      <c r="Q83" s="118"/>
      <c r="R83" s="116"/>
      <c r="S83" s="116"/>
      <c r="T83" s="116" t="s">
        <v>814</v>
      </c>
      <c r="U83" s="116"/>
      <c r="V83" s="116"/>
      <c r="W83" s="116"/>
      <c r="X83" s="116"/>
      <c r="Y83" s="116" t="s">
        <v>815</v>
      </c>
    </row>
    <row r="84" spans="1:25" ht="43.5" customHeight="1" x14ac:dyDescent="0.3">
      <c r="A84" s="108"/>
      <c r="B84" s="158">
        <v>8</v>
      </c>
      <c r="C84" s="158" t="str">
        <f>IFERROR(VLOOKUP(B84,'Control Sheet_Custom'!$A:$B,2,0),"")</f>
        <v/>
      </c>
      <c r="D84" s="116" t="s">
        <v>811</v>
      </c>
      <c r="E84" s="116"/>
      <c r="F84" s="116" t="s">
        <v>896</v>
      </c>
      <c r="G84" s="116" t="s">
        <v>861</v>
      </c>
      <c r="H84" s="108" t="s">
        <v>696</v>
      </c>
      <c r="I84" s="116"/>
      <c r="J84" s="116" t="s">
        <v>813</v>
      </c>
      <c r="K84" s="116"/>
      <c r="L84" s="114" t="s">
        <v>897</v>
      </c>
      <c r="M84" s="117" t="s">
        <v>13</v>
      </c>
      <c r="N84" s="114" t="s">
        <v>898</v>
      </c>
      <c r="O84" s="117" t="s">
        <v>13</v>
      </c>
      <c r="P84" s="116" t="s">
        <v>641</v>
      </c>
      <c r="Q84" s="118"/>
      <c r="R84" s="116"/>
      <c r="S84" s="116"/>
      <c r="T84" s="116" t="s">
        <v>814</v>
      </c>
      <c r="U84" s="116"/>
      <c r="V84" s="116"/>
      <c r="W84" s="116"/>
      <c r="X84" s="116"/>
      <c r="Y84" s="116" t="s">
        <v>815</v>
      </c>
    </row>
    <row r="85" spans="1:25" ht="43.5" customHeight="1" x14ac:dyDescent="0.3">
      <c r="A85" s="108"/>
      <c r="B85" s="158">
        <v>8</v>
      </c>
      <c r="C85" s="158" t="str">
        <f>IFERROR(VLOOKUP(B85,'Control Sheet_Custom'!$A:$B,2,0),"")</f>
        <v/>
      </c>
      <c r="D85" s="116" t="s">
        <v>811</v>
      </c>
      <c r="E85" s="116"/>
      <c r="F85" s="116" t="s">
        <v>899</v>
      </c>
      <c r="G85" s="116" t="s">
        <v>861</v>
      </c>
      <c r="H85" s="108" t="s">
        <v>696</v>
      </c>
      <c r="I85" s="116"/>
      <c r="J85" s="116" t="s">
        <v>813</v>
      </c>
      <c r="K85" s="116"/>
      <c r="L85" s="114" t="s">
        <v>898</v>
      </c>
      <c r="M85" s="117" t="s">
        <v>13</v>
      </c>
      <c r="N85" s="114" t="s">
        <v>900</v>
      </c>
      <c r="O85" s="117" t="s">
        <v>13</v>
      </c>
      <c r="P85" s="116" t="s">
        <v>641</v>
      </c>
      <c r="Q85" s="118"/>
      <c r="R85" s="116"/>
      <c r="S85" s="116"/>
      <c r="T85" s="116" t="s">
        <v>814</v>
      </c>
      <c r="U85" s="116"/>
      <c r="V85" s="116"/>
      <c r="W85" s="116"/>
      <c r="X85" s="116"/>
      <c r="Y85" s="116" t="s">
        <v>815</v>
      </c>
    </row>
    <row r="86" spans="1:25" ht="58.05" customHeight="1" x14ac:dyDescent="0.3">
      <c r="A86" s="108"/>
      <c r="B86" s="158">
        <v>8</v>
      </c>
      <c r="C86" s="158" t="str">
        <f>IFERROR(VLOOKUP(B86,'Control Sheet_Custom'!$A:$B,2,0),"")</f>
        <v/>
      </c>
      <c r="D86" s="116" t="s">
        <v>811</v>
      </c>
      <c r="E86" s="116"/>
      <c r="F86" s="116" t="s">
        <v>901</v>
      </c>
      <c r="G86" s="116" t="s">
        <v>861</v>
      </c>
      <c r="H86" s="108" t="s">
        <v>696</v>
      </c>
      <c r="I86" s="116"/>
      <c r="J86" s="116" t="s">
        <v>813</v>
      </c>
      <c r="K86" s="116"/>
      <c r="L86" s="114" t="s">
        <v>900</v>
      </c>
      <c r="M86" s="117" t="s">
        <v>13</v>
      </c>
      <c r="N86" s="114" t="s">
        <v>902</v>
      </c>
      <c r="O86" s="117" t="s">
        <v>13</v>
      </c>
      <c r="P86" s="116" t="s">
        <v>641</v>
      </c>
      <c r="Q86" s="118"/>
      <c r="R86" s="116"/>
      <c r="S86" s="116"/>
      <c r="T86" s="116" t="s">
        <v>814</v>
      </c>
      <c r="U86" s="116"/>
      <c r="V86" s="116"/>
      <c r="W86" s="116"/>
      <c r="X86" s="116"/>
      <c r="Y86" s="116" t="s">
        <v>815</v>
      </c>
    </row>
    <row r="87" spans="1:25" ht="72.45" customHeight="1" x14ac:dyDescent="0.3">
      <c r="A87" s="108"/>
      <c r="B87" s="116"/>
      <c r="C87" s="108"/>
      <c r="D87" s="116"/>
      <c r="E87" s="116"/>
      <c r="F87" s="116"/>
      <c r="G87" s="116"/>
      <c r="H87" s="108"/>
      <c r="I87" s="116"/>
      <c r="J87" s="116"/>
      <c r="K87" s="116"/>
      <c r="L87" s="114"/>
      <c r="M87" s="117"/>
      <c r="N87" s="114"/>
      <c r="O87" s="117"/>
      <c r="P87" s="116"/>
      <c r="Q87" s="118"/>
      <c r="S87" s="116"/>
      <c r="T87" s="116"/>
      <c r="U87" s="116"/>
      <c r="V87" s="116"/>
      <c r="W87" s="116"/>
      <c r="X87" s="116"/>
      <c r="Y87" s="116"/>
    </row>
    <row r="88" spans="1:25" ht="72.45" customHeight="1" x14ac:dyDescent="0.3">
      <c r="A88" s="108"/>
      <c r="B88" s="116"/>
      <c r="C88" s="108"/>
      <c r="D88" s="116"/>
      <c r="E88" s="116"/>
      <c r="F88" s="116"/>
      <c r="G88" s="116"/>
      <c r="H88" s="108"/>
      <c r="I88" s="116"/>
      <c r="J88" s="116"/>
      <c r="K88" s="116"/>
      <c r="L88" s="114"/>
      <c r="M88" s="117"/>
      <c r="N88" s="114"/>
      <c r="O88" s="117"/>
      <c r="P88" s="116"/>
      <c r="Q88" s="118"/>
      <c r="S88" s="116"/>
      <c r="T88" s="116"/>
      <c r="U88" s="116"/>
      <c r="V88" s="116"/>
      <c r="W88" s="116"/>
      <c r="X88" s="116"/>
      <c r="Y88" s="116"/>
    </row>
    <row r="89" spans="1:25" ht="72.45" customHeight="1" x14ac:dyDescent="0.3">
      <c r="A89" s="108"/>
      <c r="B89" s="116"/>
      <c r="C89" s="108"/>
      <c r="D89" s="116"/>
      <c r="E89" s="116"/>
      <c r="F89" s="116"/>
      <c r="G89" s="116"/>
      <c r="H89" s="108"/>
      <c r="I89" s="116"/>
      <c r="J89" s="116"/>
      <c r="K89" s="116"/>
      <c r="L89" s="114"/>
      <c r="M89" s="117"/>
      <c r="N89" s="114"/>
      <c r="O89" s="117"/>
      <c r="P89" s="116"/>
      <c r="Q89" s="118"/>
      <c r="S89" s="116"/>
      <c r="T89" s="116"/>
      <c r="U89" s="116"/>
      <c r="V89" s="116"/>
      <c r="W89" s="116"/>
      <c r="X89" s="116"/>
      <c r="Y89" s="116"/>
    </row>
    <row r="90" spans="1:25" ht="72.45" customHeight="1" x14ac:dyDescent="0.3">
      <c r="A90" s="108"/>
      <c r="B90" s="116">
        <v>8</v>
      </c>
      <c r="C90" s="108" t="str">
        <f>IFERROR(VLOOKUP(B90,'Control Sheet_Custom'!$A:$B,2,0),"")</f>
        <v/>
      </c>
      <c r="D90" s="116" t="s">
        <v>811</v>
      </c>
      <c r="E90" s="116"/>
      <c r="F90" s="116" t="s">
        <v>903</v>
      </c>
      <c r="G90" s="116" t="s">
        <v>904</v>
      </c>
      <c r="H90" s="108" t="s">
        <v>702</v>
      </c>
      <c r="I90" s="116"/>
      <c r="J90" s="116" t="s">
        <v>813</v>
      </c>
      <c r="K90" s="116"/>
      <c r="L90" s="114" t="s">
        <v>905</v>
      </c>
      <c r="M90" s="117" t="s">
        <v>13</v>
      </c>
      <c r="N90" s="114" t="s">
        <v>906</v>
      </c>
      <c r="O90" s="117" t="s">
        <v>13</v>
      </c>
      <c r="P90" s="116" t="s">
        <v>641</v>
      </c>
      <c r="Q90" s="118"/>
      <c r="S90" s="116"/>
      <c r="T90" s="116" t="s">
        <v>814</v>
      </c>
      <c r="U90" s="116"/>
      <c r="V90" s="116"/>
      <c r="W90" s="116"/>
      <c r="X90" s="116"/>
      <c r="Y90" s="116" t="s">
        <v>815</v>
      </c>
    </row>
    <row r="91" spans="1:25" ht="72.45" customHeight="1" x14ac:dyDescent="0.3">
      <c r="A91" s="108"/>
      <c r="B91" s="116">
        <v>8</v>
      </c>
      <c r="C91" s="108" t="str">
        <f>IFERROR(VLOOKUP(B91,'Control Sheet_Custom'!$A:$B,2,0),"")</f>
        <v/>
      </c>
      <c r="D91" s="116" t="s">
        <v>811</v>
      </c>
      <c r="E91" s="116"/>
      <c r="F91" s="116" t="s">
        <v>907</v>
      </c>
      <c r="G91" s="116" t="s">
        <v>904</v>
      </c>
      <c r="H91" s="108" t="s">
        <v>702</v>
      </c>
      <c r="I91" s="116"/>
      <c r="J91" s="116" t="s">
        <v>813</v>
      </c>
      <c r="K91" s="116"/>
      <c r="L91" s="114" t="s">
        <v>908</v>
      </c>
      <c r="M91" s="117" t="s">
        <v>13</v>
      </c>
      <c r="N91" s="114" t="s">
        <v>909</v>
      </c>
      <c r="O91" s="117" t="s">
        <v>13</v>
      </c>
      <c r="P91" s="116" t="s">
        <v>641</v>
      </c>
      <c r="Q91" s="118"/>
      <c r="S91" s="116"/>
      <c r="T91" s="116" t="s">
        <v>814</v>
      </c>
      <c r="U91" s="116"/>
      <c r="V91" s="116"/>
      <c r="W91" s="116"/>
      <c r="X91" s="116"/>
      <c r="Y91" s="116" t="s">
        <v>815</v>
      </c>
    </row>
    <row r="93" spans="1:25" ht="72.45" customHeight="1" x14ac:dyDescent="0.3">
      <c r="A93" s="108"/>
      <c r="B93" s="116">
        <v>8</v>
      </c>
      <c r="C93" s="108" t="str">
        <f>IFERROR(VLOOKUP(B93,'Control Sheet_Custom'!$A:$B,2,0),"")</f>
        <v/>
      </c>
      <c r="D93" s="116" t="s">
        <v>811</v>
      </c>
      <c r="E93" s="116"/>
      <c r="F93" s="116" t="s">
        <v>910</v>
      </c>
      <c r="G93" s="116" t="s">
        <v>904</v>
      </c>
      <c r="H93" s="108" t="s">
        <v>644</v>
      </c>
      <c r="I93" s="116"/>
      <c r="J93" s="116" t="s">
        <v>813</v>
      </c>
      <c r="K93" s="116"/>
      <c r="L93" s="114" t="s">
        <v>911</v>
      </c>
      <c r="M93" s="117" t="s">
        <v>13</v>
      </c>
      <c r="N93" s="114" t="s">
        <v>912</v>
      </c>
      <c r="O93" s="117" t="s">
        <v>13</v>
      </c>
      <c r="P93" s="116" t="s">
        <v>641</v>
      </c>
      <c r="Q93" s="118"/>
      <c r="R93" s="116"/>
      <c r="S93" s="116"/>
      <c r="T93" s="116" t="s">
        <v>814</v>
      </c>
      <c r="U93" s="116"/>
      <c r="V93" s="116"/>
      <c r="W93" s="116"/>
      <c r="X93" s="116"/>
      <c r="Y93" s="116" t="s">
        <v>815</v>
      </c>
    </row>
    <row r="94" spans="1:25" ht="72.45" customHeight="1" x14ac:dyDescent="0.3">
      <c r="A94" s="108"/>
      <c r="B94" s="116">
        <v>8</v>
      </c>
      <c r="C94" s="108" t="str">
        <f>IFERROR(VLOOKUP(B94,'Control Sheet_Custom'!$A:$B,2,0),"")</f>
        <v/>
      </c>
      <c r="D94" s="116" t="s">
        <v>811</v>
      </c>
      <c r="E94" s="116"/>
      <c r="F94" s="116" t="s">
        <v>913</v>
      </c>
      <c r="G94" s="116" t="s">
        <v>904</v>
      </c>
      <c r="H94" s="108" t="s">
        <v>644</v>
      </c>
      <c r="I94" s="116"/>
      <c r="J94" s="116" t="s">
        <v>813</v>
      </c>
      <c r="K94" s="116"/>
      <c r="L94" s="114" t="s">
        <v>914</v>
      </c>
      <c r="M94" s="117" t="s">
        <v>13</v>
      </c>
      <c r="N94" s="114" t="s">
        <v>915</v>
      </c>
      <c r="O94" s="117" t="s">
        <v>13</v>
      </c>
      <c r="P94" s="116" t="s">
        <v>641</v>
      </c>
      <c r="Q94" s="118"/>
      <c r="R94" s="116"/>
      <c r="S94" s="116"/>
      <c r="T94" s="116" t="s">
        <v>814</v>
      </c>
      <c r="U94" s="116"/>
      <c r="V94" s="116"/>
      <c r="W94" s="116"/>
      <c r="X94" s="116"/>
      <c r="Y94" s="116" t="s">
        <v>815</v>
      </c>
    </row>
    <row r="95" spans="1:25" ht="72.45" customHeight="1" x14ac:dyDescent="0.3">
      <c r="A95" s="108"/>
      <c r="B95" s="116">
        <v>8</v>
      </c>
      <c r="C95" s="108" t="str">
        <f>IFERROR(VLOOKUP(B95,'Control Sheet_Custom'!$A:$B,2,0),"")</f>
        <v/>
      </c>
      <c r="D95" s="116" t="s">
        <v>811</v>
      </c>
      <c r="E95" s="116"/>
      <c r="F95" s="116" t="s">
        <v>916</v>
      </c>
      <c r="G95" s="116" t="s">
        <v>904</v>
      </c>
      <c r="H95" s="108" t="s">
        <v>644</v>
      </c>
      <c r="I95" s="116"/>
      <c r="J95" s="116" t="s">
        <v>813</v>
      </c>
      <c r="K95" s="116"/>
      <c r="L95" s="114" t="s">
        <v>917</v>
      </c>
      <c r="M95" s="117" t="s">
        <v>13</v>
      </c>
      <c r="N95" s="114" t="s">
        <v>918</v>
      </c>
      <c r="O95" s="117" t="s">
        <v>13</v>
      </c>
      <c r="P95" s="116" t="s">
        <v>641</v>
      </c>
      <c r="Q95" s="118"/>
      <c r="R95" s="116"/>
      <c r="S95" s="116"/>
      <c r="T95" s="116" t="s">
        <v>814</v>
      </c>
      <c r="U95" s="116"/>
      <c r="V95" s="116"/>
      <c r="W95" s="116"/>
      <c r="X95" s="116"/>
      <c r="Y95" s="116" t="s">
        <v>815</v>
      </c>
    </row>
    <row r="96" spans="1:25" ht="72.45" customHeight="1" x14ac:dyDescent="0.3">
      <c r="A96" s="108"/>
      <c r="B96" s="116">
        <v>8</v>
      </c>
      <c r="C96" s="108" t="str">
        <f>IFERROR(VLOOKUP(B96,'Control Sheet_Custom'!$A:$B,2,0),"")</f>
        <v/>
      </c>
      <c r="D96" s="116" t="s">
        <v>811</v>
      </c>
      <c r="E96" s="116"/>
      <c r="F96" s="116" t="s">
        <v>919</v>
      </c>
      <c r="G96" s="116" t="s">
        <v>904</v>
      </c>
      <c r="H96" s="108" t="s">
        <v>644</v>
      </c>
      <c r="I96" s="116"/>
      <c r="J96" s="116" t="s">
        <v>813</v>
      </c>
      <c r="K96" s="116"/>
      <c r="L96" s="114" t="s">
        <v>920</v>
      </c>
      <c r="M96" s="117" t="s">
        <v>13</v>
      </c>
      <c r="N96" s="114" t="s">
        <v>921</v>
      </c>
      <c r="O96" s="117" t="s">
        <v>13</v>
      </c>
      <c r="P96" s="116" t="s">
        <v>641</v>
      </c>
      <c r="Q96" s="118"/>
      <c r="R96" s="116"/>
      <c r="S96" s="116"/>
      <c r="T96" s="116" t="s">
        <v>814</v>
      </c>
      <c r="U96" s="116"/>
      <c r="V96" s="116"/>
      <c r="W96" s="116"/>
      <c r="X96" s="116"/>
      <c r="Y96" s="116" t="s">
        <v>815</v>
      </c>
    </row>
    <row r="97" spans="1:25" ht="72.45" customHeight="1" x14ac:dyDescent="0.3">
      <c r="A97" s="108"/>
      <c r="B97" s="116">
        <v>8</v>
      </c>
      <c r="C97" s="108" t="str">
        <f>IFERROR(VLOOKUP(B97,'Control Sheet_Custom'!$A:$B,2,0),"")</f>
        <v/>
      </c>
      <c r="D97" s="116" t="s">
        <v>811</v>
      </c>
      <c r="E97" s="116"/>
      <c r="F97" s="116" t="s">
        <v>922</v>
      </c>
      <c r="G97" s="116" t="s">
        <v>904</v>
      </c>
      <c r="H97" s="108" t="s">
        <v>644</v>
      </c>
      <c r="I97" s="116"/>
      <c r="J97" s="116" t="s">
        <v>813</v>
      </c>
      <c r="K97" s="116"/>
      <c r="L97" s="114" t="s">
        <v>923</v>
      </c>
      <c r="M97" s="117" t="s">
        <v>13</v>
      </c>
      <c r="N97" s="114" t="s">
        <v>924</v>
      </c>
      <c r="O97" s="117" t="s">
        <v>13</v>
      </c>
      <c r="P97" s="116" t="s">
        <v>641</v>
      </c>
      <c r="Q97" s="118"/>
      <c r="R97" s="116"/>
      <c r="S97" s="116"/>
      <c r="T97" s="116" t="s">
        <v>814</v>
      </c>
      <c r="U97" s="116"/>
      <c r="V97" s="116"/>
      <c r="W97" s="116"/>
      <c r="X97" s="116"/>
      <c r="Y97" s="116" t="s">
        <v>815</v>
      </c>
    </row>
    <row r="98" spans="1:25" ht="72.45" customHeight="1" x14ac:dyDescent="0.3">
      <c r="A98" s="108"/>
      <c r="B98" s="116">
        <v>8</v>
      </c>
      <c r="C98" s="108" t="str">
        <f>IFERROR(VLOOKUP(B98,'Control Sheet_Custom'!$A:$B,2,0),"")</f>
        <v/>
      </c>
      <c r="D98" s="116" t="s">
        <v>811</v>
      </c>
      <c r="E98" s="116"/>
      <c r="F98" s="116" t="s">
        <v>925</v>
      </c>
      <c r="G98" s="116" t="s">
        <v>904</v>
      </c>
      <c r="H98" s="108" t="s">
        <v>644</v>
      </c>
      <c r="I98" s="116"/>
      <c r="J98" s="116" t="s">
        <v>813</v>
      </c>
      <c r="K98" s="116"/>
      <c r="L98" s="114" t="s">
        <v>926</v>
      </c>
      <c r="M98" s="117" t="s">
        <v>13</v>
      </c>
      <c r="N98" s="114" t="s">
        <v>927</v>
      </c>
      <c r="O98" s="117" t="s">
        <v>13</v>
      </c>
      <c r="P98" s="116" t="s">
        <v>641</v>
      </c>
      <c r="Q98" s="118"/>
      <c r="R98" s="116"/>
      <c r="S98" s="116"/>
      <c r="T98" s="116" t="s">
        <v>814</v>
      </c>
      <c r="U98" s="116"/>
      <c r="V98" s="116"/>
      <c r="W98" s="116"/>
      <c r="X98" s="116"/>
      <c r="Y98" s="116" t="s">
        <v>815</v>
      </c>
    </row>
    <row r="99" spans="1:25" ht="72.45" customHeight="1" x14ac:dyDescent="0.3">
      <c r="A99" s="108"/>
      <c r="B99" s="116">
        <v>8</v>
      </c>
      <c r="C99" s="108" t="str">
        <f>IFERROR(VLOOKUP(B99,'Control Sheet_Custom'!$A:$B,2,0),"")</f>
        <v/>
      </c>
      <c r="D99" s="116" t="s">
        <v>811</v>
      </c>
      <c r="E99" s="116"/>
      <c r="F99" s="116" t="s">
        <v>928</v>
      </c>
      <c r="G99" s="116" t="s">
        <v>904</v>
      </c>
      <c r="H99" s="108" t="s">
        <v>644</v>
      </c>
      <c r="I99" s="116"/>
      <c r="J99" s="116" t="s">
        <v>813</v>
      </c>
      <c r="K99" s="116"/>
      <c r="L99" s="114" t="s">
        <v>929</v>
      </c>
      <c r="M99" s="117" t="s">
        <v>13</v>
      </c>
      <c r="N99" s="114" t="s">
        <v>930</v>
      </c>
      <c r="O99" s="117" t="s">
        <v>13</v>
      </c>
      <c r="P99" s="116" t="s">
        <v>641</v>
      </c>
      <c r="Q99" s="118"/>
      <c r="R99" s="116"/>
      <c r="S99" s="116"/>
      <c r="T99" s="116" t="s">
        <v>814</v>
      </c>
      <c r="U99" s="116"/>
      <c r="V99" s="116"/>
      <c r="W99" s="116"/>
      <c r="X99" s="116"/>
      <c r="Y99" s="116" t="s">
        <v>815</v>
      </c>
    </row>
    <row r="100" spans="1:25" ht="72.45" customHeight="1" x14ac:dyDescent="0.3">
      <c r="A100" s="108"/>
      <c r="B100" s="116">
        <v>8</v>
      </c>
      <c r="C100" s="108" t="str">
        <f>IFERROR(VLOOKUP(B100,'Control Sheet_Custom'!$A:$B,2,0),"")</f>
        <v/>
      </c>
      <c r="D100" s="116" t="s">
        <v>811</v>
      </c>
      <c r="E100" s="116"/>
      <c r="F100" s="116" t="s">
        <v>931</v>
      </c>
      <c r="G100" s="116" t="s">
        <v>904</v>
      </c>
      <c r="H100" s="108" t="s">
        <v>644</v>
      </c>
      <c r="I100" s="116"/>
      <c r="J100" s="116" t="s">
        <v>813</v>
      </c>
      <c r="K100" s="116"/>
      <c r="L100" s="114" t="s">
        <v>932</v>
      </c>
      <c r="M100" s="117" t="s">
        <v>13</v>
      </c>
      <c r="N100" s="114" t="s">
        <v>933</v>
      </c>
      <c r="O100" s="117" t="s">
        <v>13</v>
      </c>
      <c r="P100" s="116" t="s">
        <v>641</v>
      </c>
      <c r="Q100" s="118"/>
      <c r="R100" s="116"/>
      <c r="S100" s="116"/>
      <c r="T100" s="116" t="s">
        <v>814</v>
      </c>
      <c r="U100" s="116"/>
      <c r="V100" s="116"/>
      <c r="W100" s="116"/>
      <c r="X100" s="116"/>
      <c r="Y100" s="116" t="s">
        <v>815</v>
      </c>
    </row>
    <row r="101" spans="1:25" ht="72.45" customHeight="1" x14ac:dyDescent="0.3">
      <c r="A101" s="108"/>
      <c r="B101" s="116">
        <v>8</v>
      </c>
      <c r="C101" s="108" t="str">
        <f>IFERROR(VLOOKUP(B101,'Control Sheet_Custom'!$A:$B,2,0),"")</f>
        <v/>
      </c>
      <c r="D101" s="116" t="s">
        <v>811</v>
      </c>
      <c r="E101" s="116"/>
      <c r="F101" s="116" t="s">
        <v>934</v>
      </c>
      <c r="G101" s="116" t="s">
        <v>904</v>
      </c>
      <c r="H101" s="108" t="s">
        <v>644</v>
      </c>
      <c r="I101" s="116"/>
      <c r="J101" s="116" t="s">
        <v>813</v>
      </c>
      <c r="K101" s="116"/>
      <c r="L101" s="114" t="s">
        <v>935</v>
      </c>
      <c r="M101" s="117" t="s">
        <v>13</v>
      </c>
      <c r="N101" s="114" t="s">
        <v>936</v>
      </c>
      <c r="O101" s="117" t="s">
        <v>13</v>
      </c>
      <c r="P101" s="116" t="s">
        <v>641</v>
      </c>
      <c r="Q101" s="118"/>
      <c r="R101" s="116"/>
      <c r="S101" s="116"/>
      <c r="T101" s="116" t="s">
        <v>814</v>
      </c>
      <c r="U101" s="116"/>
      <c r="V101" s="116"/>
      <c r="W101" s="116"/>
      <c r="X101" s="116"/>
      <c r="Y101" s="116" t="s">
        <v>815</v>
      </c>
    </row>
    <row r="102" spans="1:25" ht="72.45" customHeight="1" x14ac:dyDescent="0.3">
      <c r="A102" s="108"/>
      <c r="B102" s="116">
        <v>8</v>
      </c>
      <c r="C102" s="108" t="str">
        <f>IFERROR(VLOOKUP(B102,'Control Sheet_Custom'!$A:$B,2,0),"")</f>
        <v/>
      </c>
      <c r="D102" s="116" t="s">
        <v>811</v>
      </c>
      <c r="E102" s="116"/>
      <c r="F102" s="116" t="s">
        <v>937</v>
      </c>
      <c r="G102" s="116" t="s">
        <v>904</v>
      </c>
      <c r="H102" s="108" t="s">
        <v>644</v>
      </c>
      <c r="I102" s="116"/>
      <c r="J102" s="116" t="s">
        <v>813</v>
      </c>
      <c r="K102" s="116"/>
      <c r="L102" s="114" t="s">
        <v>938</v>
      </c>
      <c r="M102" s="117" t="s">
        <v>13</v>
      </c>
      <c r="N102" s="114" t="s">
        <v>939</v>
      </c>
      <c r="O102" s="117" t="s">
        <v>13</v>
      </c>
      <c r="P102" s="116" t="s">
        <v>641</v>
      </c>
      <c r="Q102" s="118"/>
      <c r="R102" s="116"/>
      <c r="S102" s="116"/>
      <c r="T102" s="116" t="s">
        <v>814</v>
      </c>
      <c r="U102" s="116"/>
      <c r="V102" s="116"/>
      <c r="W102" s="116"/>
      <c r="X102" s="116"/>
      <c r="Y102" s="116" t="s">
        <v>815</v>
      </c>
    </row>
    <row r="103" spans="1:25" ht="72.45" customHeight="1" x14ac:dyDescent="0.3">
      <c r="A103" s="108"/>
      <c r="B103" s="116">
        <v>8</v>
      </c>
      <c r="C103" s="108" t="str">
        <f>IFERROR(VLOOKUP(B103,'Control Sheet_Custom'!$A:$B,2,0),"")</f>
        <v/>
      </c>
      <c r="D103" s="116" t="s">
        <v>811</v>
      </c>
      <c r="E103" s="116"/>
      <c r="F103" s="116" t="s">
        <v>940</v>
      </c>
      <c r="G103" s="116" t="s">
        <v>904</v>
      </c>
      <c r="H103" s="108" t="s">
        <v>644</v>
      </c>
      <c r="I103" s="116"/>
      <c r="J103" s="116" t="s">
        <v>813</v>
      </c>
      <c r="K103" s="116"/>
      <c r="L103" s="114" t="s">
        <v>941</v>
      </c>
      <c r="M103" s="117" t="s">
        <v>13</v>
      </c>
      <c r="N103" s="114" t="s">
        <v>942</v>
      </c>
      <c r="O103" s="117" t="s">
        <v>13</v>
      </c>
      <c r="P103" s="116" t="s">
        <v>641</v>
      </c>
      <c r="Q103" s="118"/>
      <c r="R103" s="116"/>
      <c r="S103" s="116"/>
      <c r="T103" s="116" t="s">
        <v>814</v>
      </c>
      <c r="U103" s="116"/>
      <c r="V103" s="116"/>
      <c r="W103" s="116"/>
      <c r="X103" s="116"/>
      <c r="Y103" s="116" t="s">
        <v>815</v>
      </c>
    </row>
    <row r="104" spans="1:25" ht="72.45" customHeight="1" x14ac:dyDescent="0.3">
      <c r="A104" s="108"/>
      <c r="B104" s="116">
        <v>8</v>
      </c>
      <c r="C104" s="108" t="str">
        <f>IFERROR(VLOOKUP(B104,'Control Sheet_Custom'!$A:$B,2,0),"")</f>
        <v/>
      </c>
      <c r="D104" s="116" t="s">
        <v>811</v>
      </c>
      <c r="E104" s="116"/>
      <c r="F104" s="116" t="s">
        <v>943</v>
      </c>
      <c r="G104" s="116" t="s">
        <v>904</v>
      </c>
      <c r="H104" s="108" t="s">
        <v>644</v>
      </c>
      <c r="I104" s="116"/>
      <c r="J104" s="116" t="s">
        <v>813</v>
      </c>
      <c r="K104" s="116"/>
      <c r="L104" s="114" t="s">
        <v>944</v>
      </c>
      <c r="M104" s="117" t="s">
        <v>13</v>
      </c>
      <c r="N104" s="114" t="s">
        <v>945</v>
      </c>
      <c r="O104" s="117" t="s">
        <v>13</v>
      </c>
      <c r="P104" s="116" t="s">
        <v>641</v>
      </c>
      <c r="Q104" s="118"/>
      <c r="R104" s="116"/>
      <c r="S104" s="116"/>
      <c r="T104" s="116" t="s">
        <v>814</v>
      </c>
      <c r="U104" s="116"/>
      <c r="V104" s="116"/>
      <c r="W104" s="116"/>
      <c r="X104" s="116"/>
      <c r="Y104" s="116" t="s">
        <v>815</v>
      </c>
    </row>
    <row r="105" spans="1:25" ht="72.45" customHeight="1" x14ac:dyDescent="0.3">
      <c r="A105" s="108"/>
      <c r="B105" s="116">
        <v>8</v>
      </c>
      <c r="C105" s="108" t="str">
        <f>IFERROR(VLOOKUP(B105,'Control Sheet_Custom'!$A:$B,2,0),"")</f>
        <v/>
      </c>
      <c r="D105" s="116" t="s">
        <v>811</v>
      </c>
      <c r="E105" s="116"/>
      <c r="F105" s="116" t="s">
        <v>946</v>
      </c>
      <c r="G105" s="116" t="s">
        <v>904</v>
      </c>
      <c r="H105" s="108" t="s">
        <v>644</v>
      </c>
      <c r="I105" s="116"/>
      <c r="J105" s="116" t="s">
        <v>813</v>
      </c>
      <c r="K105" s="116"/>
      <c r="L105" s="114" t="s">
        <v>947</v>
      </c>
      <c r="M105" s="117" t="s">
        <v>13</v>
      </c>
      <c r="N105" s="114" t="s">
        <v>948</v>
      </c>
      <c r="O105" s="117" t="s">
        <v>13</v>
      </c>
      <c r="P105" s="116" t="s">
        <v>641</v>
      </c>
      <c r="Q105" s="118"/>
      <c r="R105" s="116"/>
      <c r="S105" s="116"/>
      <c r="T105" s="116" t="s">
        <v>814</v>
      </c>
      <c r="U105" s="116"/>
      <c r="V105" s="116"/>
      <c r="W105" s="116"/>
      <c r="X105" s="116"/>
      <c r="Y105" s="116" t="s">
        <v>815</v>
      </c>
    </row>
    <row r="106" spans="1:25" ht="72.45" customHeight="1" x14ac:dyDescent="0.3">
      <c r="A106" s="108"/>
      <c r="B106" s="116">
        <v>8</v>
      </c>
      <c r="C106" s="108" t="str">
        <f>IFERROR(VLOOKUP(B106,'Control Sheet_Custom'!$A:$B,2,0),"")</f>
        <v/>
      </c>
      <c r="D106" s="116" t="s">
        <v>811</v>
      </c>
      <c r="E106" s="116"/>
      <c r="F106" s="116" t="s">
        <v>949</v>
      </c>
      <c r="G106" s="116" t="s">
        <v>904</v>
      </c>
      <c r="H106" s="108" t="s">
        <v>644</v>
      </c>
      <c r="I106" s="116"/>
      <c r="J106" s="116" t="s">
        <v>813</v>
      </c>
      <c r="K106" s="116"/>
      <c r="L106" s="114" t="s">
        <v>950</v>
      </c>
      <c r="M106" s="117" t="s">
        <v>13</v>
      </c>
      <c r="N106" s="114" t="s">
        <v>951</v>
      </c>
      <c r="O106" s="117" t="s">
        <v>13</v>
      </c>
      <c r="P106" s="116" t="s">
        <v>641</v>
      </c>
      <c r="Q106" s="118"/>
      <c r="R106" s="116"/>
      <c r="S106" s="116"/>
      <c r="T106" s="116" t="s">
        <v>814</v>
      </c>
      <c r="U106" s="116"/>
      <c r="V106" s="116"/>
      <c r="W106" s="116"/>
      <c r="X106" s="116"/>
      <c r="Y106" s="116" t="s">
        <v>815</v>
      </c>
    </row>
    <row r="107" spans="1:25" ht="72.45" customHeight="1" x14ac:dyDescent="0.3">
      <c r="A107" s="108"/>
      <c r="B107" s="116">
        <v>8</v>
      </c>
      <c r="C107" s="108" t="str">
        <f>IFERROR(VLOOKUP(B107,'Control Sheet_Custom'!$A:$B,2,0),"")</f>
        <v/>
      </c>
      <c r="D107" s="116" t="s">
        <v>811</v>
      </c>
      <c r="E107" s="116"/>
      <c r="F107" s="116" t="s">
        <v>952</v>
      </c>
      <c r="G107" s="116" t="s">
        <v>904</v>
      </c>
      <c r="H107" s="108" t="s">
        <v>644</v>
      </c>
      <c r="I107" s="116"/>
      <c r="J107" s="116" t="s">
        <v>813</v>
      </c>
      <c r="K107" s="116"/>
      <c r="L107" s="114" t="s">
        <v>953</v>
      </c>
      <c r="M107" s="117" t="s">
        <v>13</v>
      </c>
      <c r="N107" s="114" t="s">
        <v>954</v>
      </c>
      <c r="O107" s="117" t="s">
        <v>13</v>
      </c>
      <c r="P107" s="116" t="s">
        <v>641</v>
      </c>
      <c r="Q107" s="118"/>
      <c r="R107" s="116"/>
      <c r="S107" s="116"/>
      <c r="T107" s="116" t="s">
        <v>814</v>
      </c>
      <c r="U107" s="116"/>
      <c r="V107" s="116"/>
      <c r="W107" s="116"/>
      <c r="X107" s="116"/>
      <c r="Y107" s="116" t="s">
        <v>815</v>
      </c>
    </row>
    <row r="108" spans="1:25" ht="72.45" customHeight="1" x14ac:dyDescent="0.3">
      <c r="A108" s="108"/>
      <c r="B108" s="116">
        <v>8</v>
      </c>
      <c r="C108" s="108" t="str">
        <f>IFERROR(VLOOKUP(B108,'Control Sheet_Custom'!$A:$B,2,0),"")</f>
        <v/>
      </c>
      <c r="D108" s="116" t="s">
        <v>811</v>
      </c>
      <c r="E108" s="116"/>
      <c r="F108" s="116" t="s">
        <v>955</v>
      </c>
      <c r="G108" s="116" t="s">
        <v>904</v>
      </c>
      <c r="H108" s="108" t="s">
        <v>644</v>
      </c>
      <c r="I108" s="116"/>
      <c r="J108" s="116" t="s">
        <v>813</v>
      </c>
      <c r="K108" s="116"/>
      <c r="L108" s="114" t="s">
        <v>956</v>
      </c>
      <c r="M108" s="117" t="s">
        <v>13</v>
      </c>
      <c r="N108" s="114" t="s">
        <v>957</v>
      </c>
      <c r="O108" s="117" t="s">
        <v>13</v>
      </c>
      <c r="P108" s="116" t="s">
        <v>641</v>
      </c>
      <c r="Q108" s="118"/>
      <c r="R108" s="116"/>
      <c r="S108" s="116"/>
      <c r="T108" s="116" t="s">
        <v>814</v>
      </c>
      <c r="U108" s="116"/>
      <c r="V108" s="116"/>
      <c r="W108" s="116"/>
      <c r="X108" s="116"/>
      <c r="Y108" s="116" t="s">
        <v>815</v>
      </c>
    </row>
    <row r="109" spans="1:25" ht="72.45" customHeight="1" x14ac:dyDescent="0.3">
      <c r="A109" s="108"/>
      <c r="B109" s="116">
        <v>8</v>
      </c>
      <c r="C109" s="108" t="str">
        <f>IFERROR(VLOOKUP(B109,'Control Sheet_Custom'!$A:$B,2,0),"")</f>
        <v/>
      </c>
      <c r="D109" s="116" t="s">
        <v>811</v>
      </c>
      <c r="E109" s="116"/>
      <c r="F109" s="116" t="s">
        <v>958</v>
      </c>
      <c r="G109" s="116" t="s">
        <v>904</v>
      </c>
      <c r="H109" s="108" t="s">
        <v>644</v>
      </c>
      <c r="I109" s="116"/>
      <c r="J109" s="116" t="s">
        <v>813</v>
      </c>
      <c r="K109" s="116"/>
      <c r="L109" s="114" t="s">
        <v>959</v>
      </c>
      <c r="M109" s="117" t="s">
        <v>13</v>
      </c>
      <c r="N109" s="114" t="s">
        <v>960</v>
      </c>
      <c r="O109" s="117" t="s">
        <v>13</v>
      </c>
      <c r="P109" s="116" t="s">
        <v>641</v>
      </c>
      <c r="Q109" s="118"/>
      <c r="R109" s="116"/>
      <c r="S109" s="116"/>
      <c r="T109" s="116" t="s">
        <v>814</v>
      </c>
      <c r="U109" s="116"/>
      <c r="V109" s="116"/>
      <c r="W109" s="116"/>
      <c r="X109" s="116"/>
      <c r="Y109" s="116" t="s">
        <v>815</v>
      </c>
    </row>
    <row r="110" spans="1:25" ht="72.45" customHeight="1" x14ac:dyDescent="0.3">
      <c r="A110" s="108"/>
      <c r="B110" s="116">
        <v>8</v>
      </c>
      <c r="C110" s="108" t="str">
        <f>IFERROR(VLOOKUP(B110,'Control Sheet_Custom'!$A:$B,2,0),"")</f>
        <v/>
      </c>
      <c r="D110" s="116" t="s">
        <v>811</v>
      </c>
      <c r="E110" s="116"/>
      <c r="F110" s="116" t="s">
        <v>961</v>
      </c>
      <c r="G110" s="116" t="s">
        <v>904</v>
      </c>
      <c r="H110" s="108" t="s">
        <v>644</v>
      </c>
      <c r="I110" s="116"/>
      <c r="J110" s="116" t="s">
        <v>813</v>
      </c>
      <c r="K110" s="116"/>
      <c r="L110" s="114" t="s">
        <v>962</v>
      </c>
      <c r="M110" s="117" t="s">
        <v>13</v>
      </c>
      <c r="N110" s="114" t="s">
        <v>963</v>
      </c>
      <c r="O110" s="117" t="s">
        <v>13</v>
      </c>
      <c r="P110" s="116" t="s">
        <v>641</v>
      </c>
      <c r="Q110" s="118"/>
      <c r="R110" s="116"/>
      <c r="S110" s="116"/>
      <c r="T110" s="116" t="s">
        <v>814</v>
      </c>
      <c r="U110" s="116"/>
      <c r="V110" s="116"/>
      <c r="W110" s="116"/>
      <c r="X110" s="116"/>
      <c r="Y110" s="116" t="s">
        <v>815</v>
      </c>
    </row>
    <row r="111" spans="1:25" ht="72.45" customHeight="1" x14ac:dyDescent="0.3">
      <c r="A111" s="108"/>
      <c r="B111" s="116">
        <v>8</v>
      </c>
      <c r="C111" s="108" t="str">
        <f>IFERROR(VLOOKUP(B111,'Control Sheet_Custom'!$A:$B,2,0),"")</f>
        <v/>
      </c>
      <c r="D111" s="116" t="s">
        <v>811</v>
      </c>
      <c r="E111" s="116"/>
      <c r="F111" s="116" t="s">
        <v>964</v>
      </c>
      <c r="G111" s="116" t="s">
        <v>904</v>
      </c>
      <c r="H111" s="108" t="s">
        <v>644</v>
      </c>
      <c r="I111" s="116"/>
      <c r="J111" s="116" t="s">
        <v>813</v>
      </c>
      <c r="K111" s="116"/>
      <c r="L111" s="114" t="s">
        <v>965</v>
      </c>
      <c r="M111" s="117" t="s">
        <v>13</v>
      </c>
      <c r="N111" s="114" t="s">
        <v>966</v>
      </c>
      <c r="O111" s="117" t="s">
        <v>13</v>
      </c>
      <c r="P111" s="116" t="s">
        <v>641</v>
      </c>
      <c r="Q111" s="118"/>
      <c r="R111" s="116"/>
      <c r="S111" s="116"/>
      <c r="T111" s="116" t="s">
        <v>814</v>
      </c>
      <c r="U111" s="116"/>
      <c r="V111" s="116"/>
      <c r="W111" s="116"/>
      <c r="X111" s="116"/>
      <c r="Y111" s="116" t="s">
        <v>815</v>
      </c>
    </row>
    <row r="112" spans="1:25" ht="72.45" customHeight="1" x14ac:dyDescent="0.3">
      <c r="A112" s="108"/>
      <c r="B112" s="116">
        <v>8</v>
      </c>
      <c r="C112" s="108" t="str">
        <f>IFERROR(VLOOKUP(B112,'Control Sheet_Custom'!$A:$B,2,0),"")</f>
        <v/>
      </c>
      <c r="D112" s="116" t="s">
        <v>811</v>
      </c>
      <c r="E112" s="116"/>
      <c r="F112" s="116" t="s">
        <v>967</v>
      </c>
      <c r="G112" s="116" t="s">
        <v>904</v>
      </c>
      <c r="H112" s="108" t="s">
        <v>644</v>
      </c>
      <c r="I112" s="116"/>
      <c r="J112" s="116" t="s">
        <v>813</v>
      </c>
      <c r="K112" s="116"/>
      <c r="L112" s="114" t="s">
        <v>968</v>
      </c>
      <c r="M112" s="117" t="s">
        <v>13</v>
      </c>
      <c r="N112" s="114" t="s">
        <v>969</v>
      </c>
      <c r="O112" s="117" t="s">
        <v>13</v>
      </c>
      <c r="P112" s="116" t="s">
        <v>641</v>
      </c>
      <c r="Q112" s="118"/>
      <c r="R112" s="116"/>
      <c r="S112" s="116"/>
      <c r="T112" s="116" t="s">
        <v>814</v>
      </c>
      <c r="U112" s="116"/>
      <c r="V112" s="116"/>
      <c r="W112" s="116"/>
      <c r="X112" s="116"/>
      <c r="Y112" s="116" t="s">
        <v>815</v>
      </c>
    </row>
    <row r="113" spans="1:25" ht="72.45" customHeight="1" x14ac:dyDescent="0.3">
      <c r="A113" s="108"/>
      <c r="B113" s="116">
        <v>8</v>
      </c>
      <c r="C113" s="108" t="str">
        <f>IFERROR(VLOOKUP(B113,'Control Sheet_Custom'!$A:$B,2,0),"")</f>
        <v/>
      </c>
      <c r="D113" s="116" t="s">
        <v>811</v>
      </c>
      <c r="E113" s="116"/>
      <c r="F113" s="116" t="s">
        <v>970</v>
      </c>
      <c r="G113" s="116" t="s">
        <v>904</v>
      </c>
      <c r="H113" s="108" t="s">
        <v>644</v>
      </c>
      <c r="I113" s="116"/>
      <c r="J113" s="116" t="s">
        <v>813</v>
      </c>
      <c r="K113" s="116"/>
      <c r="L113" s="114" t="s">
        <v>971</v>
      </c>
      <c r="M113" s="117" t="s">
        <v>13</v>
      </c>
      <c r="N113" s="114" t="s">
        <v>972</v>
      </c>
      <c r="O113" s="117" t="s">
        <v>13</v>
      </c>
      <c r="P113" s="116" t="s">
        <v>641</v>
      </c>
      <c r="Q113" s="118"/>
      <c r="R113" s="116"/>
      <c r="S113" s="116"/>
      <c r="T113" s="116" t="s">
        <v>814</v>
      </c>
      <c r="U113" s="116"/>
      <c r="V113" s="116"/>
      <c r="W113" s="116"/>
      <c r="X113" s="116"/>
      <c r="Y113" s="116" t="s">
        <v>815</v>
      </c>
    </row>
    <row r="114" spans="1:25" ht="72.45" customHeight="1" x14ac:dyDescent="0.3">
      <c r="A114" s="108"/>
      <c r="B114" s="116">
        <v>8</v>
      </c>
      <c r="C114" s="108" t="str">
        <f>IFERROR(VLOOKUP(B114,'Control Sheet_Custom'!$A:$B,2,0),"")</f>
        <v/>
      </c>
      <c r="D114" s="116" t="s">
        <v>811</v>
      </c>
      <c r="E114" s="116"/>
      <c r="F114" s="116" t="s">
        <v>973</v>
      </c>
      <c r="G114" s="116" t="s">
        <v>904</v>
      </c>
      <c r="H114" s="108" t="s">
        <v>644</v>
      </c>
      <c r="I114" s="116"/>
      <c r="J114" s="116" t="s">
        <v>813</v>
      </c>
      <c r="K114" s="116"/>
      <c r="L114" s="114" t="s">
        <v>974</v>
      </c>
      <c r="M114" s="117" t="s">
        <v>13</v>
      </c>
      <c r="N114" s="114" t="s">
        <v>975</v>
      </c>
      <c r="O114" s="117" t="s">
        <v>13</v>
      </c>
      <c r="P114" s="116" t="s">
        <v>641</v>
      </c>
      <c r="Q114" s="118"/>
      <c r="R114" s="116"/>
      <c r="S114" s="116"/>
      <c r="T114" s="116" t="s">
        <v>814</v>
      </c>
      <c r="U114" s="116"/>
      <c r="V114" s="116"/>
      <c r="W114" s="116"/>
      <c r="X114" s="116"/>
      <c r="Y114" s="116" t="s">
        <v>815</v>
      </c>
    </row>
    <row r="115" spans="1:25" ht="72.45" customHeight="1" x14ac:dyDescent="0.3">
      <c r="A115" s="108"/>
      <c r="B115" s="116">
        <v>8</v>
      </c>
      <c r="C115" s="108" t="str">
        <f>IFERROR(VLOOKUP(B115,'Control Sheet_Custom'!$A:$B,2,0),"")</f>
        <v/>
      </c>
      <c r="D115" s="116" t="s">
        <v>811</v>
      </c>
      <c r="E115" s="116"/>
      <c r="F115" s="116" t="s">
        <v>976</v>
      </c>
      <c r="G115" s="116" t="s">
        <v>904</v>
      </c>
      <c r="H115" s="108" t="s">
        <v>644</v>
      </c>
      <c r="I115" s="116"/>
      <c r="J115" s="116" t="s">
        <v>813</v>
      </c>
      <c r="K115" s="116"/>
      <c r="L115" s="114" t="s">
        <v>977</v>
      </c>
      <c r="M115" s="117" t="s">
        <v>13</v>
      </c>
      <c r="N115" s="114" t="s">
        <v>978</v>
      </c>
      <c r="O115" s="117" t="s">
        <v>13</v>
      </c>
      <c r="P115" s="116" t="s">
        <v>641</v>
      </c>
      <c r="Q115" s="118"/>
      <c r="R115" s="116"/>
      <c r="S115" s="116"/>
      <c r="T115" s="116" t="s">
        <v>814</v>
      </c>
      <c r="U115" s="116"/>
      <c r="V115" s="116"/>
      <c r="W115" s="116"/>
      <c r="X115" s="116"/>
      <c r="Y115" s="116" t="s">
        <v>815</v>
      </c>
    </row>
    <row r="116" spans="1:25" ht="72.45" customHeight="1" x14ac:dyDescent="0.3">
      <c r="A116" s="108"/>
      <c r="B116" s="116">
        <v>8</v>
      </c>
      <c r="C116" s="108" t="str">
        <f>IFERROR(VLOOKUP(B116,'Control Sheet_Custom'!$A:$B,2,0),"")</f>
        <v/>
      </c>
      <c r="D116" s="116" t="s">
        <v>811</v>
      </c>
      <c r="E116" s="116"/>
      <c r="F116" s="116" t="s">
        <v>979</v>
      </c>
      <c r="G116" s="116" t="s">
        <v>904</v>
      </c>
      <c r="H116" s="108" t="s">
        <v>644</v>
      </c>
      <c r="I116" s="116"/>
      <c r="J116" s="116" t="s">
        <v>813</v>
      </c>
      <c r="K116" s="116"/>
      <c r="L116" s="114" t="s">
        <v>980</v>
      </c>
      <c r="M116" s="117" t="s">
        <v>13</v>
      </c>
      <c r="N116" s="114" t="s">
        <v>981</v>
      </c>
      <c r="O116" s="117" t="s">
        <v>13</v>
      </c>
      <c r="P116" s="116" t="s">
        <v>641</v>
      </c>
      <c r="Q116" s="118"/>
      <c r="R116" s="116"/>
      <c r="S116" s="116"/>
      <c r="T116" s="116" t="s">
        <v>814</v>
      </c>
      <c r="U116" s="116"/>
      <c r="V116" s="116"/>
      <c r="W116" s="116"/>
      <c r="X116" s="116"/>
      <c r="Y116" s="116" t="s">
        <v>815</v>
      </c>
    </row>
    <row r="117" spans="1:25" ht="72.45" customHeight="1" x14ac:dyDescent="0.3">
      <c r="A117" s="108"/>
      <c r="B117" s="116">
        <v>8</v>
      </c>
      <c r="C117" s="108" t="str">
        <f>IFERROR(VLOOKUP(B117,'Control Sheet_Custom'!$A:$B,2,0),"")</f>
        <v/>
      </c>
      <c r="D117" s="116" t="s">
        <v>811</v>
      </c>
      <c r="E117" s="116"/>
      <c r="F117" s="116" t="s">
        <v>982</v>
      </c>
      <c r="G117" s="116" t="s">
        <v>904</v>
      </c>
      <c r="H117" s="108" t="s">
        <v>644</v>
      </c>
      <c r="I117" s="116"/>
      <c r="J117" s="116" t="s">
        <v>813</v>
      </c>
      <c r="K117" s="116"/>
      <c r="L117" s="114" t="s">
        <v>983</v>
      </c>
      <c r="M117" s="117" t="s">
        <v>13</v>
      </c>
      <c r="N117" s="114" t="s">
        <v>984</v>
      </c>
      <c r="O117" s="117" t="s">
        <v>13</v>
      </c>
      <c r="P117" s="116" t="s">
        <v>641</v>
      </c>
      <c r="Q117" s="118"/>
      <c r="R117" s="116"/>
      <c r="S117" s="116"/>
      <c r="T117" s="116" t="s">
        <v>814</v>
      </c>
      <c r="U117" s="116"/>
      <c r="V117" s="116"/>
      <c r="W117" s="116"/>
      <c r="X117" s="116"/>
      <c r="Y117" s="116" t="s">
        <v>815</v>
      </c>
    </row>
    <row r="118" spans="1:25" ht="72.45" customHeight="1" x14ac:dyDescent="0.3">
      <c r="A118" s="108"/>
      <c r="B118" s="116">
        <v>8</v>
      </c>
      <c r="C118" s="108" t="str">
        <f>IFERROR(VLOOKUP(B118,'Control Sheet_Custom'!$A:$B,2,0),"")</f>
        <v/>
      </c>
      <c r="D118" s="116" t="s">
        <v>811</v>
      </c>
      <c r="E118" s="116"/>
      <c r="F118" s="116" t="s">
        <v>985</v>
      </c>
      <c r="G118" s="116" t="s">
        <v>904</v>
      </c>
      <c r="H118" s="108" t="s">
        <v>644</v>
      </c>
      <c r="I118" s="116"/>
      <c r="J118" s="116" t="s">
        <v>813</v>
      </c>
      <c r="K118" s="116"/>
      <c r="L118" s="114" t="s">
        <v>986</v>
      </c>
      <c r="M118" s="117" t="s">
        <v>13</v>
      </c>
      <c r="N118" s="114" t="s">
        <v>987</v>
      </c>
      <c r="O118" s="117" t="s">
        <v>13</v>
      </c>
      <c r="P118" s="116" t="s">
        <v>641</v>
      </c>
      <c r="Q118" s="118"/>
      <c r="R118" s="116"/>
      <c r="S118" s="116"/>
      <c r="T118" s="116" t="s">
        <v>814</v>
      </c>
      <c r="U118" s="116"/>
      <c r="V118" s="116"/>
      <c r="W118" s="116"/>
      <c r="X118" s="116"/>
      <c r="Y118" s="116" t="s">
        <v>815</v>
      </c>
    </row>
    <row r="119" spans="1:25" ht="72.45" customHeight="1" x14ac:dyDescent="0.3">
      <c r="A119" s="108"/>
      <c r="B119" s="116">
        <v>8</v>
      </c>
      <c r="C119" s="108" t="str">
        <f>IFERROR(VLOOKUP(B119,'Control Sheet_Custom'!$A:$B,2,0),"")</f>
        <v/>
      </c>
      <c r="D119" s="116" t="s">
        <v>811</v>
      </c>
      <c r="E119" s="116"/>
      <c r="F119" s="116" t="s">
        <v>988</v>
      </c>
      <c r="G119" s="116" t="s">
        <v>904</v>
      </c>
      <c r="H119" s="108" t="s">
        <v>644</v>
      </c>
      <c r="I119" s="116"/>
      <c r="J119" s="116" t="s">
        <v>813</v>
      </c>
      <c r="K119" s="116"/>
      <c r="L119" s="114" t="s">
        <v>989</v>
      </c>
      <c r="M119" s="117" t="s">
        <v>13</v>
      </c>
      <c r="N119" s="114" t="s">
        <v>990</v>
      </c>
      <c r="O119" s="117" t="s">
        <v>13</v>
      </c>
      <c r="P119" s="116" t="s">
        <v>641</v>
      </c>
      <c r="Q119" s="118"/>
      <c r="R119" s="116"/>
      <c r="S119" s="116"/>
      <c r="T119" s="116" t="s">
        <v>814</v>
      </c>
      <c r="U119" s="116"/>
      <c r="V119" s="116"/>
      <c r="W119" s="116"/>
      <c r="X119" s="116"/>
      <c r="Y119" s="116" t="s">
        <v>815</v>
      </c>
    </row>
    <row r="120" spans="1:25" ht="72.45" customHeight="1" x14ac:dyDescent="0.3">
      <c r="A120" s="108"/>
      <c r="B120" s="116">
        <v>8</v>
      </c>
      <c r="C120" s="108" t="str">
        <f>IFERROR(VLOOKUP(B120,'Control Sheet_Custom'!$A:$B,2,0),"")</f>
        <v/>
      </c>
      <c r="D120" s="116" t="s">
        <v>811</v>
      </c>
      <c r="E120" s="116"/>
      <c r="F120" s="116" t="s">
        <v>991</v>
      </c>
      <c r="G120" s="116" t="s">
        <v>904</v>
      </c>
      <c r="H120" s="108" t="s">
        <v>644</v>
      </c>
      <c r="I120" s="116"/>
      <c r="J120" s="116" t="s">
        <v>813</v>
      </c>
      <c r="K120" s="116"/>
      <c r="L120" s="114" t="s">
        <v>992</v>
      </c>
      <c r="M120" s="117" t="s">
        <v>13</v>
      </c>
      <c r="N120" s="114" t="s">
        <v>993</v>
      </c>
      <c r="O120" s="117" t="s">
        <v>13</v>
      </c>
      <c r="P120" s="116" t="s">
        <v>641</v>
      </c>
      <c r="Q120" s="118"/>
      <c r="R120" s="116"/>
      <c r="S120" s="116"/>
      <c r="T120" s="116" t="s">
        <v>814</v>
      </c>
      <c r="U120" s="116"/>
      <c r="V120" s="116"/>
      <c r="W120" s="116"/>
      <c r="X120" s="116"/>
      <c r="Y120" s="116" t="s">
        <v>815</v>
      </c>
    </row>
    <row r="121" spans="1:25" ht="72.45" customHeight="1" x14ac:dyDescent="0.3">
      <c r="A121" s="108"/>
      <c r="B121" s="116">
        <v>8</v>
      </c>
      <c r="C121" s="108" t="str">
        <f>IFERROR(VLOOKUP(B121,'Control Sheet_Custom'!$A:$B,2,0),"")</f>
        <v/>
      </c>
      <c r="D121" s="116" t="s">
        <v>811</v>
      </c>
      <c r="E121" s="116"/>
      <c r="F121" s="116" t="s">
        <v>994</v>
      </c>
      <c r="G121" s="116" t="s">
        <v>904</v>
      </c>
      <c r="H121" s="108" t="s">
        <v>644</v>
      </c>
      <c r="I121" s="116"/>
      <c r="J121" s="116" t="s">
        <v>813</v>
      </c>
      <c r="K121" s="116"/>
      <c r="L121" s="114" t="s">
        <v>995</v>
      </c>
      <c r="M121" s="117" t="s">
        <v>13</v>
      </c>
      <c r="N121" s="114" t="s">
        <v>996</v>
      </c>
      <c r="O121" s="117" t="s">
        <v>13</v>
      </c>
      <c r="P121" s="116" t="s">
        <v>641</v>
      </c>
      <c r="Q121" s="118"/>
      <c r="R121" s="116"/>
      <c r="S121" s="116"/>
      <c r="T121" s="116" t="s">
        <v>814</v>
      </c>
      <c r="U121" s="116"/>
      <c r="V121" s="116"/>
      <c r="W121" s="116"/>
      <c r="X121" s="116"/>
      <c r="Y121" s="116" t="s">
        <v>815</v>
      </c>
    </row>
    <row r="122" spans="1:25" ht="72.45" customHeight="1" x14ac:dyDescent="0.3">
      <c r="A122" s="108"/>
      <c r="B122" s="116">
        <v>8</v>
      </c>
      <c r="C122" s="108" t="str">
        <f>IFERROR(VLOOKUP(B122,'Control Sheet_Custom'!$A:$B,2,0),"")</f>
        <v/>
      </c>
      <c r="D122" s="116" t="s">
        <v>811</v>
      </c>
      <c r="E122" s="116"/>
      <c r="F122" s="116" t="s">
        <v>997</v>
      </c>
      <c r="G122" s="116" t="s">
        <v>904</v>
      </c>
      <c r="H122" s="108" t="s">
        <v>644</v>
      </c>
      <c r="I122" s="116"/>
      <c r="J122" s="116" t="s">
        <v>813</v>
      </c>
      <c r="K122" s="116"/>
      <c r="L122" s="114" t="s">
        <v>998</v>
      </c>
      <c r="M122" s="117" t="s">
        <v>13</v>
      </c>
      <c r="N122" s="114" t="s">
        <v>999</v>
      </c>
      <c r="O122" s="117" t="s">
        <v>13</v>
      </c>
      <c r="P122" s="116" t="s">
        <v>641</v>
      </c>
      <c r="Q122" s="118"/>
      <c r="R122" s="116"/>
      <c r="S122" s="116"/>
      <c r="T122" s="116" t="s">
        <v>814</v>
      </c>
      <c r="U122" s="116"/>
      <c r="V122" s="116"/>
      <c r="W122" s="116"/>
      <c r="X122" s="116"/>
      <c r="Y122" s="116" t="s">
        <v>815</v>
      </c>
    </row>
    <row r="123" spans="1:25" ht="72.45" customHeight="1" x14ac:dyDescent="0.3">
      <c r="A123" s="108"/>
      <c r="B123" s="116">
        <v>8</v>
      </c>
      <c r="C123" s="108" t="str">
        <f>IFERROR(VLOOKUP(B123,'Control Sheet_Custom'!$A:$B,2,0),"")</f>
        <v/>
      </c>
      <c r="D123" s="116" t="s">
        <v>811</v>
      </c>
      <c r="E123" s="116"/>
      <c r="F123" s="116" t="s">
        <v>1000</v>
      </c>
      <c r="G123" s="116" t="s">
        <v>904</v>
      </c>
      <c r="H123" s="108" t="s">
        <v>644</v>
      </c>
      <c r="I123" s="116"/>
      <c r="J123" s="116" t="s">
        <v>813</v>
      </c>
      <c r="K123" s="116"/>
      <c r="L123" s="114" t="s">
        <v>1001</v>
      </c>
      <c r="M123" s="117" t="s">
        <v>13</v>
      </c>
      <c r="N123" s="114" t="s">
        <v>1002</v>
      </c>
      <c r="O123" s="117" t="s">
        <v>13</v>
      </c>
      <c r="P123" s="116" t="s">
        <v>641</v>
      </c>
      <c r="Q123" s="118"/>
      <c r="R123" s="116"/>
      <c r="S123" s="116"/>
      <c r="T123" s="116" t="s">
        <v>814</v>
      </c>
      <c r="U123" s="116"/>
      <c r="V123" s="116"/>
      <c r="W123" s="116"/>
      <c r="X123" s="116"/>
      <c r="Y123" s="116" t="s">
        <v>815</v>
      </c>
    </row>
    <row r="124" spans="1:25" ht="72.45" customHeight="1" x14ac:dyDescent="0.3">
      <c r="A124" s="108"/>
      <c r="B124" s="116">
        <v>8</v>
      </c>
      <c r="C124" s="108" t="str">
        <f>IFERROR(VLOOKUP(B124,'Control Sheet_Custom'!$A:$B,2,0),"")</f>
        <v/>
      </c>
      <c r="D124" s="116" t="s">
        <v>811</v>
      </c>
      <c r="E124" s="116"/>
      <c r="F124" s="116" t="s">
        <v>1003</v>
      </c>
      <c r="G124" s="116" t="s">
        <v>904</v>
      </c>
      <c r="H124" s="108" t="s">
        <v>644</v>
      </c>
      <c r="I124" s="116"/>
      <c r="J124" s="116" t="s">
        <v>813</v>
      </c>
      <c r="K124" s="116"/>
      <c r="L124" s="114" t="s">
        <v>1004</v>
      </c>
      <c r="M124" s="117" t="s">
        <v>13</v>
      </c>
      <c r="N124" s="114" t="s">
        <v>1005</v>
      </c>
      <c r="O124" s="117" t="s">
        <v>13</v>
      </c>
      <c r="P124" s="116" t="s">
        <v>641</v>
      </c>
      <c r="Q124" s="118"/>
      <c r="R124" s="116"/>
      <c r="S124" s="116"/>
      <c r="T124" s="116" t="s">
        <v>814</v>
      </c>
      <c r="U124" s="116"/>
      <c r="V124" s="116"/>
      <c r="W124" s="116"/>
      <c r="X124" s="116"/>
      <c r="Y124" s="116" t="s">
        <v>815</v>
      </c>
    </row>
    <row r="125" spans="1:25" ht="72.45" customHeight="1" x14ac:dyDescent="0.3">
      <c r="A125" s="108"/>
      <c r="B125" s="116">
        <v>8</v>
      </c>
      <c r="C125" s="108" t="str">
        <f>IFERROR(VLOOKUP(B125,'Control Sheet_Custom'!$A:$B,2,0),"")</f>
        <v/>
      </c>
      <c r="D125" s="116" t="s">
        <v>811</v>
      </c>
      <c r="E125" s="116"/>
      <c r="F125" s="116" t="s">
        <v>1006</v>
      </c>
      <c r="G125" s="116" t="s">
        <v>904</v>
      </c>
      <c r="H125" s="108" t="s">
        <v>644</v>
      </c>
      <c r="I125" s="116"/>
      <c r="J125" s="116" t="s">
        <v>813</v>
      </c>
      <c r="K125" s="116"/>
      <c r="L125" s="114" t="s">
        <v>1007</v>
      </c>
      <c r="M125" s="117" t="s">
        <v>13</v>
      </c>
      <c r="N125" s="114" t="s">
        <v>1008</v>
      </c>
      <c r="O125" s="117" t="s">
        <v>13</v>
      </c>
      <c r="P125" s="116" t="s">
        <v>641</v>
      </c>
      <c r="Q125" s="118"/>
      <c r="R125" s="116"/>
      <c r="S125" s="116"/>
      <c r="T125" s="116" t="s">
        <v>814</v>
      </c>
      <c r="U125" s="116"/>
      <c r="V125" s="116"/>
      <c r="W125" s="116"/>
      <c r="X125" s="116"/>
      <c r="Y125" s="116" t="s">
        <v>815</v>
      </c>
    </row>
    <row r="128" spans="1:25" x14ac:dyDescent="0.3">
      <c r="A128" s="108"/>
      <c r="B128" s="116">
        <v>8</v>
      </c>
      <c r="C128" s="108" t="str">
        <f>IFERROR(VLOOKUP(B128,'Control Sheet_Custom'!$A:$B,2,0),"")</f>
        <v/>
      </c>
      <c r="D128" s="116" t="s">
        <v>811</v>
      </c>
      <c r="E128" s="116"/>
      <c r="F128" s="116" t="s">
        <v>1009</v>
      </c>
      <c r="G128" s="116" t="s">
        <v>804</v>
      </c>
      <c r="H128" s="116"/>
      <c r="I128" s="116"/>
      <c r="J128" s="116" t="s">
        <v>817</v>
      </c>
      <c r="K128" s="116" t="s">
        <v>818</v>
      </c>
      <c r="M128" s="117"/>
      <c r="N128" s="117"/>
      <c r="O128" s="116"/>
      <c r="P128" s="116"/>
      <c r="Q128" s="118" t="s">
        <v>1010</v>
      </c>
      <c r="R128" s="116"/>
      <c r="S128" s="116"/>
      <c r="T128" s="116" t="s">
        <v>814</v>
      </c>
      <c r="U128" s="116"/>
      <c r="V128" s="116"/>
      <c r="W128" s="116"/>
      <c r="X128" s="116"/>
      <c r="Y128" s="116" t="s">
        <v>815</v>
      </c>
    </row>
    <row r="129" spans="1:25" x14ac:dyDescent="0.3">
      <c r="A129" s="108"/>
      <c r="B129" s="116">
        <v>8</v>
      </c>
      <c r="C129" s="108" t="str">
        <f>IFERROR(VLOOKUP(B129,'Control Sheet_Custom'!$A:$B,2,0),"")</f>
        <v/>
      </c>
      <c r="D129" s="116" t="s">
        <v>811</v>
      </c>
      <c r="E129" s="116"/>
      <c r="F129" s="116" t="s">
        <v>1011</v>
      </c>
      <c r="G129" s="116" t="s">
        <v>804</v>
      </c>
      <c r="H129" s="116"/>
      <c r="I129" s="116"/>
      <c r="J129" s="116" t="s">
        <v>817</v>
      </c>
      <c r="K129" s="116" t="s">
        <v>818</v>
      </c>
      <c r="L129" s="109"/>
      <c r="M129" s="117"/>
      <c r="N129" s="117"/>
      <c r="O129" s="116"/>
      <c r="P129" s="116"/>
      <c r="Q129" s="118" t="s">
        <v>1012</v>
      </c>
      <c r="R129" s="116"/>
      <c r="S129" s="116"/>
      <c r="T129" s="116" t="s">
        <v>814</v>
      </c>
      <c r="U129" s="116"/>
      <c r="V129" s="116"/>
      <c r="W129" s="116"/>
      <c r="X129" s="116"/>
      <c r="Y129" s="116" t="s">
        <v>815</v>
      </c>
    </row>
    <row r="130" spans="1:25" x14ac:dyDescent="0.3">
      <c r="A130" s="108"/>
      <c r="B130" s="116">
        <v>8</v>
      </c>
      <c r="C130" s="108" t="str">
        <f>IFERROR(VLOOKUP(B130,'Control Sheet_Custom'!$A:$B,2,0),"")</f>
        <v/>
      </c>
      <c r="D130" s="116" t="s">
        <v>811</v>
      </c>
      <c r="E130" s="116"/>
      <c r="F130" s="116" t="s">
        <v>1013</v>
      </c>
      <c r="G130" s="116" t="s">
        <v>804</v>
      </c>
      <c r="H130" s="116"/>
      <c r="I130" s="116"/>
      <c r="J130" s="116" t="s">
        <v>817</v>
      </c>
      <c r="K130" s="116" t="s">
        <v>818</v>
      </c>
      <c r="L130" s="109"/>
      <c r="M130" s="117"/>
      <c r="N130" s="117"/>
      <c r="O130" s="116"/>
      <c r="P130" s="116"/>
      <c r="Q130" s="118" t="s">
        <v>1014</v>
      </c>
      <c r="R130" s="116"/>
      <c r="S130" s="116"/>
      <c r="T130" s="116" t="s">
        <v>814</v>
      </c>
      <c r="U130" s="116"/>
      <c r="V130" s="116"/>
      <c r="W130" s="116"/>
      <c r="X130" s="116"/>
      <c r="Y130" s="116" t="s">
        <v>815</v>
      </c>
    </row>
    <row r="131" spans="1:25" x14ac:dyDescent="0.3">
      <c r="A131" s="108"/>
      <c r="B131" s="116">
        <v>8</v>
      </c>
      <c r="C131" s="108" t="str">
        <f>IFERROR(VLOOKUP(B131,'Control Sheet_Custom'!$A:$B,2,0),"")</f>
        <v/>
      </c>
      <c r="D131" s="116" t="s">
        <v>811</v>
      </c>
      <c r="E131" s="116"/>
      <c r="F131" s="116" t="s">
        <v>1015</v>
      </c>
      <c r="G131" s="116" t="s">
        <v>804</v>
      </c>
      <c r="H131" s="116"/>
      <c r="I131" s="116"/>
      <c r="J131" s="116" t="s">
        <v>817</v>
      </c>
      <c r="K131" s="116" t="s">
        <v>818</v>
      </c>
      <c r="L131" s="109"/>
      <c r="M131" s="117"/>
      <c r="N131" s="117"/>
      <c r="O131" s="116"/>
      <c r="P131" s="116"/>
      <c r="Q131" s="118" t="s">
        <v>1016</v>
      </c>
      <c r="R131" s="116"/>
      <c r="S131" s="116"/>
      <c r="T131" s="116" t="s">
        <v>814</v>
      </c>
      <c r="U131" s="116"/>
      <c r="V131" s="116"/>
      <c r="W131" s="116"/>
      <c r="X131" s="116"/>
      <c r="Y131" s="116" t="s">
        <v>815</v>
      </c>
    </row>
    <row r="132" spans="1:25" x14ac:dyDescent="0.3">
      <c r="A132" s="108"/>
      <c r="B132" s="116">
        <v>8</v>
      </c>
      <c r="C132" s="108" t="str">
        <f>IFERROR(VLOOKUP(B132,'Control Sheet_Custom'!$A:$B,2,0),"")</f>
        <v/>
      </c>
      <c r="D132" s="116" t="s">
        <v>811</v>
      </c>
      <c r="E132" s="116"/>
      <c r="F132" s="116" t="s">
        <v>1017</v>
      </c>
      <c r="G132" s="116" t="s">
        <v>804</v>
      </c>
      <c r="H132" s="116"/>
      <c r="I132" s="116"/>
      <c r="J132" s="116" t="s">
        <v>817</v>
      </c>
      <c r="K132" s="116" t="s">
        <v>818</v>
      </c>
      <c r="L132" s="109"/>
      <c r="M132" s="117"/>
      <c r="N132" s="117"/>
      <c r="O132" s="116"/>
      <c r="P132" s="116"/>
      <c r="Q132" s="118" t="s">
        <v>1018</v>
      </c>
      <c r="R132" s="116"/>
      <c r="S132" s="116"/>
      <c r="T132" s="116" t="s">
        <v>814</v>
      </c>
      <c r="U132" s="116"/>
      <c r="V132" s="116"/>
      <c r="W132" s="116"/>
      <c r="X132" s="116"/>
      <c r="Y132" s="116" t="s">
        <v>815</v>
      </c>
    </row>
    <row r="133" spans="1:25" x14ac:dyDescent="0.3">
      <c r="A133" s="108"/>
      <c r="B133" s="116">
        <v>8</v>
      </c>
      <c r="C133" s="108" t="str">
        <f>IFERROR(VLOOKUP(B133,'Control Sheet_Custom'!$A:$B,2,0),"")</f>
        <v/>
      </c>
      <c r="D133" s="116" t="s">
        <v>811</v>
      </c>
      <c r="E133" s="116"/>
      <c r="F133" s="116" t="s">
        <v>1019</v>
      </c>
      <c r="G133" s="116" t="s">
        <v>804</v>
      </c>
      <c r="H133" s="116"/>
      <c r="I133" s="116"/>
      <c r="J133" s="116" t="s">
        <v>817</v>
      </c>
      <c r="K133" s="116" t="s">
        <v>818</v>
      </c>
      <c r="L133" s="109"/>
      <c r="M133" s="117"/>
      <c r="N133" s="117"/>
      <c r="O133" s="116"/>
      <c r="P133" s="116"/>
      <c r="Q133" s="118" t="s">
        <v>1020</v>
      </c>
      <c r="R133" s="116"/>
      <c r="S133" s="116"/>
      <c r="T133" s="116" t="s">
        <v>814</v>
      </c>
      <c r="U133" s="116"/>
      <c r="V133" s="116"/>
      <c r="W133" s="116"/>
      <c r="X133" s="116"/>
      <c r="Y133" s="116" t="s">
        <v>815</v>
      </c>
    </row>
    <row r="134" spans="1:25" x14ac:dyDescent="0.3">
      <c r="A134" s="108"/>
      <c r="B134" s="116">
        <v>8</v>
      </c>
      <c r="C134" s="108" t="str">
        <f>IFERROR(VLOOKUP(B134,'Control Sheet_Custom'!$A:$B,2,0),"")</f>
        <v/>
      </c>
      <c r="D134" s="116" t="s">
        <v>811</v>
      </c>
      <c r="E134" s="116"/>
      <c r="F134" s="116" t="s">
        <v>1021</v>
      </c>
      <c r="G134" s="116" t="s">
        <v>804</v>
      </c>
      <c r="H134" s="116"/>
      <c r="I134" s="116"/>
      <c r="J134" s="116" t="s">
        <v>817</v>
      </c>
      <c r="K134" s="116" t="s">
        <v>818</v>
      </c>
      <c r="L134" s="109"/>
      <c r="M134" s="117"/>
      <c r="N134" s="117"/>
      <c r="O134" s="116"/>
      <c r="P134" s="116"/>
      <c r="Q134" s="118" t="s">
        <v>1022</v>
      </c>
      <c r="R134" s="116"/>
      <c r="S134" s="116"/>
      <c r="T134" s="116" t="s">
        <v>814</v>
      </c>
      <c r="U134" s="116"/>
      <c r="V134" s="116"/>
      <c r="W134" s="116"/>
      <c r="X134" s="116"/>
      <c r="Y134" s="116" t="s">
        <v>815</v>
      </c>
    </row>
    <row r="135" spans="1:25" x14ac:dyDescent="0.3">
      <c r="A135" s="108"/>
      <c r="B135" s="116">
        <v>8</v>
      </c>
      <c r="C135" s="108" t="str">
        <f>IFERROR(VLOOKUP(B135,'Control Sheet_Custom'!$A:$B,2,0),"")</f>
        <v/>
      </c>
      <c r="D135" s="116" t="s">
        <v>811</v>
      </c>
      <c r="E135" s="116"/>
      <c r="F135" s="116" t="s">
        <v>1023</v>
      </c>
      <c r="G135" s="116" t="s">
        <v>804</v>
      </c>
      <c r="H135" s="116"/>
      <c r="I135" s="116"/>
      <c r="J135" s="116" t="s">
        <v>817</v>
      </c>
      <c r="K135" s="116" t="s">
        <v>818</v>
      </c>
      <c r="L135" s="109"/>
      <c r="M135" s="117"/>
      <c r="N135" s="117"/>
      <c r="O135" s="116"/>
      <c r="P135" s="116"/>
      <c r="Q135" s="118" t="s">
        <v>1024</v>
      </c>
      <c r="R135" s="116"/>
      <c r="S135" s="116"/>
      <c r="T135" s="116" t="s">
        <v>814</v>
      </c>
      <c r="U135" s="116"/>
      <c r="V135" s="116"/>
      <c r="W135" s="116"/>
      <c r="X135" s="116"/>
      <c r="Y135" s="116" t="s">
        <v>815</v>
      </c>
    </row>
    <row r="136" spans="1:25" x14ac:dyDescent="0.3">
      <c r="A136" s="108"/>
      <c r="B136" s="116">
        <v>8</v>
      </c>
      <c r="C136" s="108" t="str">
        <f>IFERROR(VLOOKUP(B136,'Control Sheet_Custom'!$A:$B,2,0),"")</f>
        <v/>
      </c>
      <c r="D136" s="116" t="s">
        <v>811</v>
      </c>
      <c r="E136" s="116"/>
      <c r="F136" s="116" t="s">
        <v>1025</v>
      </c>
      <c r="G136" s="116" t="s">
        <v>804</v>
      </c>
      <c r="H136" s="116"/>
      <c r="I136" s="116"/>
      <c r="J136" s="116" t="s">
        <v>817</v>
      </c>
      <c r="K136" s="116" t="s">
        <v>818</v>
      </c>
      <c r="L136" s="109"/>
      <c r="M136" s="117"/>
      <c r="N136" s="117"/>
      <c r="O136" s="116"/>
      <c r="P136" s="116"/>
      <c r="Q136" s="118" t="s">
        <v>1026</v>
      </c>
      <c r="R136" s="116"/>
      <c r="S136" s="116"/>
      <c r="T136" s="116" t="s">
        <v>814</v>
      </c>
      <c r="U136" s="116"/>
      <c r="V136" s="116"/>
      <c r="W136" s="116"/>
      <c r="X136" s="116"/>
      <c r="Y136" s="116" t="s">
        <v>815</v>
      </c>
    </row>
    <row r="137" spans="1:25" x14ac:dyDescent="0.3">
      <c r="A137" s="108"/>
      <c r="B137" s="116">
        <v>8</v>
      </c>
      <c r="C137" s="108" t="str">
        <f>IFERROR(VLOOKUP(B137,'Control Sheet_Custom'!$A:$B,2,0),"")</f>
        <v/>
      </c>
      <c r="D137" s="116" t="s">
        <v>811</v>
      </c>
      <c r="E137" s="116"/>
      <c r="F137" s="116" t="s">
        <v>1027</v>
      </c>
      <c r="G137" s="116" t="s">
        <v>804</v>
      </c>
      <c r="H137" s="116"/>
      <c r="I137" s="116"/>
      <c r="J137" s="116" t="s">
        <v>817</v>
      </c>
      <c r="K137" s="116" t="s">
        <v>818</v>
      </c>
      <c r="L137" s="109"/>
      <c r="M137" s="117"/>
      <c r="N137" s="117"/>
      <c r="O137" s="116"/>
      <c r="P137" s="116"/>
      <c r="Q137" s="118" t="s">
        <v>1028</v>
      </c>
      <c r="R137" s="116"/>
      <c r="S137" s="116"/>
      <c r="T137" s="116" t="s">
        <v>814</v>
      </c>
      <c r="U137" s="116"/>
      <c r="V137" s="116"/>
      <c r="W137" s="116"/>
      <c r="X137" s="116"/>
      <c r="Y137" s="116" t="s">
        <v>815</v>
      </c>
    </row>
    <row r="138" spans="1:25" x14ac:dyDescent="0.3">
      <c r="A138" s="108"/>
      <c r="B138" s="116">
        <v>8</v>
      </c>
      <c r="C138" s="108" t="str">
        <f>IFERROR(VLOOKUP(B138,'Control Sheet_Custom'!$A:$B,2,0),"")</f>
        <v/>
      </c>
      <c r="D138" s="116" t="s">
        <v>811</v>
      </c>
      <c r="E138" s="116"/>
      <c r="F138" s="116" t="s">
        <v>1029</v>
      </c>
      <c r="G138" s="116" t="s">
        <v>804</v>
      </c>
      <c r="H138" s="116"/>
      <c r="I138" s="116"/>
      <c r="J138" s="116" t="s">
        <v>817</v>
      </c>
      <c r="K138" s="116" t="s">
        <v>818</v>
      </c>
      <c r="L138" s="109"/>
      <c r="M138" s="117"/>
      <c r="N138" s="117"/>
      <c r="O138" s="116"/>
      <c r="P138" s="116"/>
      <c r="Q138" s="118" t="s">
        <v>1030</v>
      </c>
      <c r="R138" s="116"/>
      <c r="S138" s="116"/>
      <c r="T138" s="116" t="s">
        <v>814</v>
      </c>
      <c r="U138" s="116"/>
      <c r="V138" s="116"/>
      <c r="W138" s="116"/>
      <c r="X138" s="116"/>
      <c r="Y138" s="116" t="s">
        <v>815</v>
      </c>
    </row>
  </sheetData>
  <mergeCells count="4">
    <mergeCell ref="B2:F2"/>
    <mergeCell ref="G2:K2"/>
    <mergeCell ref="L2:N2"/>
    <mergeCell ref="R2:T2"/>
  </mergeCells>
  <phoneticPr fontId="28" type="noConversion"/>
  <conditionalFormatting sqref="L34:L36 N69:N86 L6:L11">
    <cfRule type="expression" dxfId="62" priority="122">
      <formula>IF(AND($F6&lt;&gt;"Python",$F6&lt;&gt;""),TRUE)</formula>
    </cfRule>
  </conditionalFormatting>
  <conditionalFormatting sqref="L52:L53">
    <cfRule type="expression" dxfId="61" priority="41">
      <formula>IF(AND($F46&lt;&gt;"Python",$F46&lt;&gt;""),TRUE)</formula>
    </cfRule>
  </conditionalFormatting>
  <conditionalFormatting sqref="L68">
    <cfRule type="expression" dxfId="60" priority="40">
      <formula>IF(AND($F68&lt;&gt;"Python",$F68&lt;&gt;""),TRUE)</formula>
    </cfRule>
  </conditionalFormatting>
  <conditionalFormatting sqref="L90:L91 N90:N91">
    <cfRule type="expression" dxfId="59" priority="38">
      <formula>IF(AND($F78&lt;&gt;"Python",$F78&lt;&gt;""),TRUE)</formula>
    </cfRule>
  </conditionalFormatting>
  <conditionalFormatting sqref="L93:L125">
    <cfRule type="expression" dxfId="58" priority="36">
      <formula>IF(AND($F81&lt;&gt;"Python",$F81&lt;&gt;""),TRUE)</formula>
    </cfRule>
  </conditionalFormatting>
  <conditionalFormatting sqref="N93:N125">
    <cfRule type="expression" dxfId="57" priority="35">
      <formula>IF(AND($F81&lt;&gt;"Python",$F81&lt;&gt;""),TRUE)</formula>
    </cfRule>
  </conditionalFormatting>
  <conditionalFormatting sqref="L12:L17">
    <cfRule type="expression" dxfId="56" priority="34">
      <formula>IF(AND($F12&lt;&gt;"Python",$F12&lt;&gt;""),TRUE)</formula>
    </cfRule>
  </conditionalFormatting>
  <conditionalFormatting sqref="L19:L30">
    <cfRule type="expression" dxfId="55" priority="33">
      <formula>IF(AND($F19&lt;&gt;"Python",$F19&lt;&gt;""),TRUE)</formula>
    </cfRule>
  </conditionalFormatting>
  <conditionalFormatting sqref="L129:L138">
    <cfRule type="expression" dxfId="54" priority="32">
      <formula>IF(AND($F129&lt;&gt;"Python",$F129&lt;&gt;""),TRUE)</formula>
    </cfRule>
  </conditionalFormatting>
  <conditionalFormatting sqref="L33">
    <cfRule type="expression" dxfId="53" priority="31">
      <formula>IF(AND($F33&lt;&gt;"Python",$F33&lt;&gt;""),TRUE)</formula>
    </cfRule>
  </conditionalFormatting>
  <conditionalFormatting sqref="L39:L42">
    <cfRule type="expression" dxfId="52" priority="30">
      <formula>IF(AND($F39&lt;&gt;"Python",$F39&lt;&gt;""),TRUE)</formula>
    </cfRule>
  </conditionalFormatting>
  <conditionalFormatting sqref="L38">
    <cfRule type="expression" dxfId="51" priority="29">
      <formula>IF(AND($F38&lt;&gt;"Python",$F38&lt;&gt;""),TRUE)</formula>
    </cfRule>
  </conditionalFormatting>
  <conditionalFormatting sqref="L47:L51">
    <cfRule type="expression" dxfId="50" priority="28">
      <formula>IF(AND($F47&lt;&gt;"Python",$F47&lt;&gt;""),TRUE)</formula>
    </cfRule>
  </conditionalFormatting>
  <conditionalFormatting sqref="L46">
    <cfRule type="expression" dxfId="49" priority="27">
      <formula>IF(AND($F46&lt;&gt;"Python",$F46&lt;&gt;""),TRUE)</formula>
    </cfRule>
  </conditionalFormatting>
  <conditionalFormatting sqref="L62:L67">
    <cfRule type="expression" dxfId="48" priority="26">
      <formula>IF(AND($F62&lt;&gt;"Python",$F62&lt;&gt;""),TRUE)</formula>
    </cfRule>
  </conditionalFormatting>
  <conditionalFormatting sqref="L69">
    <cfRule type="expression" dxfId="47" priority="25">
      <formula>IF(AND($F69&lt;&gt;"Python",$F69&lt;&gt;""),TRUE)</formula>
    </cfRule>
  </conditionalFormatting>
  <conditionalFormatting sqref="L70">
    <cfRule type="expression" dxfId="46" priority="21">
      <formula>IF(AND($F70&lt;&gt;"Python",$F70&lt;&gt;""),TRUE)</formula>
    </cfRule>
  </conditionalFormatting>
  <conditionalFormatting sqref="L71">
    <cfRule type="expression" dxfId="45" priority="20">
      <formula>IF(AND($F71&lt;&gt;"Python",$F71&lt;&gt;""),TRUE)</formula>
    </cfRule>
  </conditionalFormatting>
  <conditionalFormatting sqref="L72">
    <cfRule type="expression" dxfId="44" priority="19">
      <formula>IF(AND($F72&lt;&gt;"Python",$F72&lt;&gt;""),TRUE)</formula>
    </cfRule>
  </conditionalFormatting>
  <conditionalFormatting sqref="L73">
    <cfRule type="expression" dxfId="43" priority="18">
      <formula>IF(AND($F73&lt;&gt;"Python",$F73&lt;&gt;""),TRUE)</formula>
    </cfRule>
  </conditionalFormatting>
  <conditionalFormatting sqref="L74">
    <cfRule type="expression" dxfId="42" priority="17">
      <formula>IF(AND($F74&lt;&gt;"Python",$F74&lt;&gt;""),TRUE)</formula>
    </cfRule>
  </conditionalFormatting>
  <conditionalFormatting sqref="L75">
    <cfRule type="expression" dxfId="41" priority="16">
      <formula>IF(AND($F75&lt;&gt;"Python",$F75&lt;&gt;""),TRUE)</formula>
    </cfRule>
  </conditionalFormatting>
  <conditionalFormatting sqref="L76">
    <cfRule type="expression" dxfId="40" priority="15">
      <formula>IF(AND($F76&lt;&gt;"Python",$F76&lt;&gt;""),TRUE)</formula>
    </cfRule>
  </conditionalFormatting>
  <conditionalFormatting sqref="L77">
    <cfRule type="expression" dxfId="39" priority="14">
      <formula>IF(AND($F77&lt;&gt;"Python",$F77&lt;&gt;""),TRUE)</formula>
    </cfRule>
  </conditionalFormatting>
  <conditionalFormatting sqref="L78">
    <cfRule type="expression" dxfId="38" priority="12">
      <formula>IF(AND($F78&lt;&gt;"Python",$F78&lt;&gt;""),TRUE)</formula>
    </cfRule>
  </conditionalFormatting>
  <conditionalFormatting sqref="L79">
    <cfRule type="expression" dxfId="37" priority="11">
      <formula>IF(AND($F79&lt;&gt;"Python",$F79&lt;&gt;""),TRUE)</formula>
    </cfRule>
  </conditionalFormatting>
  <conditionalFormatting sqref="L80">
    <cfRule type="expression" dxfId="36" priority="10">
      <formula>IF(AND($F80&lt;&gt;"Python",$F80&lt;&gt;""),TRUE)</formula>
    </cfRule>
  </conditionalFormatting>
  <conditionalFormatting sqref="L81">
    <cfRule type="expression" dxfId="35" priority="9">
      <formula>IF(AND($F81&lt;&gt;"Python",$F81&lt;&gt;""),TRUE)</formula>
    </cfRule>
  </conditionalFormatting>
  <conditionalFormatting sqref="L82">
    <cfRule type="expression" dxfId="34" priority="8">
      <formula>IF(AND($F82&lt;&gt;"Python",$F82&lt;&gt;""),TRUE)</formula>
    </cfRule>
  </conditionalFormatting>
  <conditionalFormatting sqref="L83">
    <cfRule type="expression" dxfId="33" priority="7">
      <formula>IF(AND($F83&lt;&gt;"Python",$F83&lt;&gt;""),TRUE)</formula>
    </cfRule>
  </conditionalFormatting>
  <conditionalFormatting sqref="L84">
    <cfRule type="expression" dxfId="32" priority="6">
      <formula>IF(AND($F84&lt;&gt;"Python",$F84&lt;&gt;""),TRUE)</formula>
    </cfRule>
  </conditionalFormatting>
  <conditionalFormatting sqref="L85">
    <cfRule type="expression" dxfId="31" priority="5">
      <formula>IF(AND($F85&lt;&gt;"Python",$F85&lt;&gt;""),TRUE)</formula>
    </cfRule>
  </conditionalFormatting>
  <conditionalFormatting sqref="L86">
    <cfRule type="expression" dxfId="30" priority="4">
      <formula>IF(AND($F86&lt;&gt;"Python",$F86&lt;&gt;""),TRUE)</formula>
    </cfRule>
  </conditionalFormatting>
  <conditionalFormatting sqref="L87:L88 N87:N88">
    <cfRule type="expression" dxfId="29" priority="161">
      <formula>IF(AND($F76&lt;&gt;"Python",$F76&lt;&gt;""),TRUE)</formula>
    </cfRule>
  </conditionalFormatting>
  <conditionalFormatting sqref="L89 N89">
    <cfRule type="expression" dxfId="28" priority="163">
      <formula>IF(AND(#REF!&lt;&gt;"Python",#REF!&lt;&gt;""),TRUE)</formula>
    </cfRule>
  </conditionalFormatting>
  <conditionalFormatting sqref="L56:L60">
    <cfRule type="expression" dxfId="27" priority="3">
      <formula>IF(AND($F56&lt;&gt;"Python",$F56&lt;&gt;""),TRUE)</formula>
    </cfRule>
  </conditionalFormatting>
  <conditionalFormatting sqref="L55">
    <cfRule type="expression" dxfId="26" priority="2">
      <formula>IF(AND($F55&lt;&gt;"Python",$F55&lt;&gt;""),TRUE)</formula>
    </cfRule>
  </conditionalFormatting>
  <conditionalFormatting sqref="L5">
    <cfRule type="expression" dxfId="25" priority="1">
      <formula>IF(AND($F5&lt;&gt;"Python",$F5&lt;&gt;""),TRUE)</formula>
    </cfRule>
  </conditionalFormatting>
  <dataValidations count="5">
    <dataValidation type="list" allowBlank="1" showInputMessage="1" showErrorMessage="1" sqref="D93:D125 D5:D17 D128:D138 D33:D36 D38:D42 D46:D53 D19:D30 D62:D91 D55:D60" xr:uid="{00000000-0002-0000-0700-000000000000}">
      <formula1>obj_type_Text</formula1>
    </dataValidation>
    <dataValidation type="list" allowBlank="1" showInputMessage="1" showErrorMessage="1" sqref="J5:J10 J93:J125 J12:J17 J128:J138 J33:J36 J38:J42 J46:J53 J19:J30 J62:J91 J55:J60" xr:uid="{00000000-0002-0000-0700-000001000000}">
      <formula1>text_shape_text_type</formula1>
    </dataValidation>
    <dataValidation type="list" allowBlank="1" showInputMessage="1" showErrorMessage="1" sqref="T5:T10 T93:T125 T12:T17 T128:T138 T33:T36 T38:T42 T46:T53 T19:T30 T62:T91 T55:T60" xr:uid="{00000000-0002-0000-0700-000002000000}">
      <formula1>obj_shape_func</formula1>
    </dataValidation>
    <dataValidation type="list" allowBlank="1" showInputMessage="1" showErrorMessage="1" sqref="A46:A53 A93:A125 A5:A17 A33:A36 A62:A91 A128:A138 A55:A60 A19:A30 A38:A42" xr:uid="{00000000-0002-0000-0700-000003000000}">
      <formula1>business_contxt</formula1>
    </dataValidation>
    <dataValidation type="list" allowBlank="1" showInputMessage="1" showErrorMessage="1" sqref="H93:H125 H52:H53 H69:H91" xr:uid="{00000000-0002-0000-0700-000004000000}">
      <formula1>data_format</formula1>
    </dataValidation>
  </dataValidations>
  <pageMargins left="0.7" right="0.7" top="0.75" bottom="0.75" header="0.3" footer="0.3"/>
  <pageSetup orientation="portrait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>
    <tabColor rgb="FFFFFF00"/>
  </sheetPr>
  <dimension ref="A1:F3"/>
  <sheetViews>
    <sheetView workbookViewId="0">
      <selection activeCell="C16" sqref="C16"/>
    </sheetView>
  </sheetViews>
  <sheetFormatPr defaultRowHeight="14.4" x14ac:dyDescent="0.3"/>
  <cols>
    <col min="1" max="1" width="24.77734375" customWidth="1"/>
    <col min="2" max="2" width="7.77734375" customWidth="1"/>
    <col min="3" max="3" width="9.109375" customWidth="1"/>
    <col min="4" max="4" width="38" style="34" customWidth="1"/>
    <col min="5" max="5" width="16.77734375" customWidth="1"/>
    <col min="6" max="6" width="24.77734375" customWidth="1"/>
  </cols>
  <sheetData>
    <row r="1" spans="1:6" s="27" customFormat="1" x14ac:dyDescent="0.3">
      <c r="A1" s="61" t="s">
        <v>1031</v>
      </c>
      <c r="B1" s="62" t="s">
        <v>611</v>
      </c>
      <c r="C1" s="63" t="s">
        <v>612</v>
      </c>
      <c r="D1" s="62" t="s">
        <v>1032</v>
      </c>
      <c r="E1" s="62" t="s">
        <v>1033</v>
      </c>
      <c r="F1" s="62" t="s">
        <v>1034</v>
      </c>
    </row>
    <row r="2" spans="1:6" x14ac:dyDescent="0.3">
      <c r="A2" s="27"/>
      <c r="B2" s="27"/>
      <c r="E2" s="22"/>
    </row>
    <row r="3" spans="1:6" x14ac:dyDescent="0.3">
      <c r="A3" s="27"/>
      <c r="B3" s="27"/>
      <c r="E3" s="2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8">
    <tabColor theme="1" tint="4.9989318521683403E-2"/>
  </sheetPr>
  <dimension ref="A1:M215"/>
  <sheetViews>
    <sheetView showGridLines="0" zoomScale="69" zoomScaleNormal="80" workbookViewId="0">
      <pane ySplit="3" topLeftCell="A127" activePane="bottomLeft" state="frozen"/>
      <selection pane="bottomLeft" activeCell="F137" sqref="F137"/>
    </sheetView>
  </sheetViews>
  <sheetFormatPr defaultColWidth="8.5546875" defaultRowHeight="14.4" x14ac:dyDescent="0.3"/>
  <cols>
    <col min="1" max="1" width="13.5546875" customWidth="1"/>
    <col min="2" max="2" width="10.5546875" customWidth="1"/>
    <col min="3" max="3" width="12.5546875" customWidth="1"/>
    <col min="4" max="4" width="11.33203125" customWidth="1"/>
    <col min="5" max="5" width="26.33203125" customWidth="1"/>
    <col min="6" max="6" width="21.6640625" customWidth="1"/>
    <col min="7" max="7" width="36.77734375" customWidth="1"/>
  </cols>
  <sheetData>
    <row r="1" spans="1:7" x14ac:dyDescent="0.3">
      <c r="B1" s="27"/>
    </row>
    <row r="2" spans="1:7" ht="15" customHeight="1" thickBot="1" x14ac:dyDescent="0.35">
      <c r="A2" s="15"/>
      <c r="B2" s="191" t="s">
        <v>608</v>
      </c>
      <c r="C2" s="192"/>
      <c r="D2" s="192"/>
      <c r="E2" s="192"/>
      <c r="F2" s="193"/>
      <c r="G2" s="15"/>
    </row>
    <row r="3" spans="1:7" x14ac:dyDescent="0.3">
      <c r="A3" s="16" t="s">
        <v>549</v>
      </c>
      <c r="B3" s="16" t="s">
        <v>611</v>
      </c>
      <c r="C3" s="17" t="s">
        <v>612</v>
      </c>
      <c r="D3" s="18" t="s">
        <v>1033</v>
      </c>
      <c r="E3" s="18" t="s">
        <v>801</v>
      </c>
      <c r="F3" s="19" t="s">
        <v>1035</v>
      </c>
      <c r="G3" s="18" t="s">
        <v>1036</v>
      </c>
    </row>
    <row r="4" spans="1:7" hidden="1" x14ac:dyDescent="0.3">
      <c r="A4" s="108"/>
      <c r="B4" s="108">
        <v>3</v>
      </c>
      <c r="C4" s="108">
        <f>IFERROR(VLOOKUP(B4,'Control Sheet_Custom'!$A:$B,2,0),"")</f>
        <v>1637157055</v>
      </c>
      <c r="D4" s="108" t="s">
        <v>1037</v>
      </c>
      <c r="E4" s="108" t="s">
        <v>1038</v>
      </c>
      <c r="F4" s="108" t="s">
        <v>639</v>
      </c>
      <c r="G4" t="e">
        <f t="array" aca="1" ref="G4" ca="1">CLONE1LEVELLIST("Client_brands",2,,"Barriers")</f>
        <v>#VALUE!</v>
      </c>
    </row>
    <row r="5" spans="1:7" hidden="1" x14ac:dyDescent="0.3">
      <c r="A5" s="108"/>
      <c r="B5" s="108">
        <v>3</v>
      </c>
      <c r="C5" s="108">
        <f>IFERROR(VLOOKUP(B5,'Control Sheet_Custom'!$A:$B,2,0),"")</f>
        <v>1637157055</v>
      </c>
      <c r="D5" s="130" t="s">
        <v>1039</v>
      </c>
      <c r="E5" s="130" t="s">
        <v>1040</v>
      </c>
      <c r="F5" s="108"/>
      <c r="G5" t="e">
        <f t="array" aca="1" ref="G5" ca="1">CLONE1LEVELLIST("Client_brands",2,,"Barriers")</f>
        <v>#VALUE!</v>
      </c>
    </row>
    <row r="6" spans="1:7" hidden="1" x14ac:dyDescent="0.3">
      <c r="A6" s="108"/>
      <c r="B6" s="108">
        <v>9</v>
      </c>
      <c r="C6" s="108" t="str">
        <f>IFERROR(VLOOKUP(B6,'Control Sheet_Custom'!$A:$B,2,0),"")</f>
        <v/>
      </c>
      <c r="D6" s="108" t="s">
        <v>1039</v>
      </c>
      <c r="E6" s="108" t="s">
        <v>1041</v>
      </c>
      <c r="F6" s="108" t="s">
        <v>639</v>
      </c>
      <c r="G6" t="e">
        <f t="array" aca="1" ref="G6" ca="1">CLONE1LEVELLIST("Client_brands",2,,"Barriers")</f>
        <v>#VALUE!</v>
      </c>
    </row>
    <row r="7" spans="1:7" hidden="1" x14ac:dyDescent="0.3">
      <c r="A7" s="108"/>
      <c r="B7" s="108">
        <v>9</v>
      </c>
      <c r="C7" s="108" t="str">
        <f>IFERROR(VLOOKUP(B7,'Control Sheet_Custom'!$A:$B,2,0),"")</f>
        <v/>
      </c>
      <c r="D7" s="108" t="s">
        <v>1039</v>
      </c>
      <c r="E7" s="108" t="s">
        <v>1042</v>
      </c>
      <c r="F7" s="108" t="s">
        <v>639</v>
      </c>
      <c r="G7" t="e">
        <f t="array" aca="1" ref="G7" ca="1">CLONE1LEVELLIST("Client_brands",2,,"Barriers")</f>
        <v>#VALUE!</v>
      </c>
    </row>
    <row r="8" spans="1:7" hidden="1" x14ac:dyDescent="0.3">
      <c r="A8" s="108"/>
      <c r="B8" s="108">
        <v>15</v>
      </c>
      <c r="C8" s="108" t="str">
        <f>IFERROR(VLOOKUP(B8,'Control Sheet_Custom'!$A:$B,2,0),"")</f>
        <v/>
      </c>
      <c r="D8" s="108" t="s">
        <v>1039</v>
      </c>
      <c r="E8" s="108" t="s">
        <v>1041</v>
      </c>
      <c r="F8" s="108" t="s">
        <v>639</v>
      </c>
      <c r="G8" t="e">
        <f t="array" aca="1" ref="G8" ca="1">CLONE1LEVELLIST("Client_brands",2,,"Barriers")</f>
        <v>#VALUE!</v>
      </c>
    </row>
    <row r="9" spans="1:7" hidden="1" x14ac:dyDescent="0.3">
      <c r="A9" s="108"/>
      <c r="B9" s="108">
        <v>15</v>
      </c>
      <c r="C9" s="108" t="str">
        <f>IFERROR(VLOOKUP(B9,'Control Sheet_Custom'!$A:$B,2,0),"")</f>
        <v/>
      </c>
      <c r="D9" s="108" t="s">
        <v>1039</v>
      </c>
      <c r="E9" s="108" t="s">
        <v>1042</v>
      </c>
      <c r="F9" s="108" t="s">
        <v>639</v>
      </c>
      <c r="G9" t="e">
        <f t="array" aca="1" ref="G9" ca="1">CLONE1LEVELLIST("Client_brands",2,,"Barriers")</f>
        <v>#VALUE!</v>
      </c>
    </row>
    <row r="10" spans="1:7" hidden="1" x14ac:dyDescent="0.3">
      <c r="C10" s="108" t="str">
        <f>IFERROR(VLOOKUP(B10,'Control Sheet_Custom'!$A:$B,2,0),"")</f>
        <v/>
      </c>
    </row>
    <row r="11" spans="1:7" hidden="1" x14ac:dyDescent="0.3">
      <c r="A11" s="108"/>
      <c r="B11" s="108">
        <v>3</v>
      </c>
      <c r="C11" s="108">
        <f>IFERROR(VLOOKUP(B11,'Control Sheet_Custom'!$A:$B,2,0),"")</f>
        <v>1637157055</v>
      </c>
      <c r="D11" s="108" t="s">
        <v>1037</v>
      </c>
      <c r="E11" s="108" t="s">
        <v>1043</v>
      </c>
      <c r="F11" s="108" t="s">
        <v>1044</v>
      </c>
      <c r="G11" t="e">
        <f t="array" aca="1" ref="G11" ca="1">CLONE1LEVELLIST("Daypart_list",1,,"Mono")</f>
        <v>#VALUE!</v>
      </c>
    </row>
    <row r="12" spans="1:7" hidden="1" x14ac:dyDescent="0.3">
      <c r="A12" s="108"/>
      <c r="B12" s="108">
        <v>3</v>
      </c>
      <c r="C12" s="108">
        <f>IFERROR(VLOOKUP(B12,'Control Sheet_Custom'!$A:$B,2,0),"")</f>
        <v>1637157055</v>
      </c>
      <c r="D12" s="108" t="s">
        <v>1037</v>
      </c>
      <c r="E12" s="108" t="s">
        <v>1045</v>
      </c>
      <c r="F12" s="108" t="s">
        <v>1044</v>
      </c>
      <c r="G12" t="e">
        <f t="array" aca="1" ref="G12" ca="1">CLONE1LEVELLIST("Daypart_list",1,,"Mono")</f>
        <v>#VALUE!</v>
      </c>
    </row>
    <row r="13" spans="1:7" hidden="1" x14ac:dyDescent="0.3">
      <c r="A13" s="108"/>
      <c r="B13" s="108">
        <v>3</v>
      </c>
      <c r="C13" s="108">
        <f>IFERROR(VLOOKUP(B13,'Control Sheet_Custom'!$A:$B,2,0),"")</f>
        <v>1637157055</v>
      </c>
      <c r="D13" s="108" t="s">
        <v>1037</v>
      </c>
      <c r="E13" s="108" t="s">
        <v>1046</v>
      </c>
      <c r="F13" s="108" t="s">
        <v>1044</v>
      </c>
      <c r="G13" t="e">
        <f t="array" aca="1" ref="G13" ca="1">CLONE1LEVELLIST("Daypart_list",1,,"Mono")</f>
        <v>#VALUE!</v>
      </c>
    </row>
    <row r="14" spans="1:7" hidden="1" x14ac:dyDescent="0.3">
      <c r="A14" s="108"/>
      <c r="B14" s="108">
        <v>3</v>
      </c>
      <c r="C14" s="108">
        <f>IFERROR(VLOOKUP(B14,'Control Sheet_Custom'!$A:$B,2,0),"")</f>
        <v>1637157055</v>
      </c>
      <c r="D14" s="108" t="s">
        <v>1037</v>
      </c>
      <c r="E14" s="108" t="s">
        <v>1047</v>
      </c>
      <c r="F14" s="108" t="s">
        <v>1044</v>
      </c>
      <c r="G14" t="e">
        <f t="array" aca="1" ref="G14" ca="1">CLONE1LEVELLIST("Daypart_list",1,,"Mono")</f>
        <v>#VALUE!</v>
      </c>
    </row>
    <row r="15" spans="1:7" hidden="1" x14ac:dyDescent="0.3">
      <c r="A15" s="108"/>
      <c r="B15" s="108">
        <v>3</v>
      </c>
      <c r="C15" s="108">
        <f>IFERROR(VLOOKUP(B15,'Control Sheet_Custom'!$A:$B,2,0),"")</f>
        <v>1637157055</v>
      </c>
      <c r="D15" s="108" t="s">
        <v>1039</v>
      </c>
      <c r="E15" s="108" t="s">
        <v>1048</v>
      </c>
      <c r="F15" s="108"/>
      <c r="G15" t="e">
        <f ca="1">G11</f>
        <v>#VALUE!</v>
      </c>
    </row>
    <row r="16" spans="1:7" hidden="1" x14ac:dyDescent="0.3">
      <c r="A16" s="108"/>
      <c r="B16" s="108">
        <v>3</v>
      </c>
      <c r="C16" s="108">
        <f>IFERROR(VLOOKUP(B16,'Control Sheet_Custom'!$A:$B,2,0),"")</f>
        <v>1637157055</v>
      </c>
      <c r="D16" s="108" t="s">
        <v>1039</v>
      </c>
      <c r="E16" s="108" t="s">
        <v>1049</v>
      </c>
      <c r="F16" s="108"/>
      <c r="G16" t="e">
        <f ca="1">G12</f>
        <v>#VALUE!</v>
      </c>
    </row>
    <row r="17" spans="1:7" hidden="1" x14ac:dyDescent="0.3">
      <c r="A17" s="108"/>
      <c r="C17" s="108" t="str">
        <f>IFERROR(VLOOKUP(B17,'Control Sheet_Custom'!$A:$B,2,0),"")</f>
        <v/>
      </c>
    </row>
    <row r="18" spans="1:7" hidden="1" x14ac:dyDescent="0.3">
      <c r="A18" s="108"/>
      <c r="B18" s="108">
        <v>5</v>
      </c>
      <c r="C18" s="108">
        <f>IFERROR(VLOOKUP(B18,'Control Sheet_Custom'!$A:$B,2,0),"")</f>
        <v>1637157054</v>
      </c>
      <c r="D18" s="108" t="s">
        <v>1037</v>
      </c>
      <c r="E18" s="108" t="s">
        <v>1050</v>
      </c>
      <c r="F18" s="108" t="s">
        <v>1044</v>
      </c>
      <c r="G18" t="e">
        <f t="array" aca="1" ref="G18" ca="1">CLONE1LEVELLIST("Daypart_list",1,,"Mono")</f>
        <v>#VALUE!</v>
      </c>
    </row>
    <row r="19" spans="1:7" hidden="1" x14ac:dyDescent="0.3">
      <c r="A19" s="108"/>
      <c r="B19" s="108">
        <v>5</v>
      </c>
      <c r="C19" s="108">
        <f>IFERROR(VLOOKUP(B19,'Control Sheet_Custom'!$A:$B,2,0),"")</f>
        <v>1637157054</v>
      </c>
      <c r="D19" s="108" t="s">
        <v>1037</v>
      </c>
      <c r="E19" s="108" t="s">
        <v>1051</v>
      </c>
      <c r="F19" s="108" t="s">
        <v>1044</v>
      </c>
      <c r="G19" t="e">
        <f t="array" aca="1" ref="G19" ca="1">CLONE1LEVELLIST("Daypart_list",1,,"Mono")</f>
        <v>#VALUE!</v>
      </c>
    </row>
    <row r="20" spans="1:7" hidden="1" x14ac:dyDescent="0.3">
      <c r="A20" s="108"/>
      <c r="B20" s="108">
        <v>5</v>
      </c>
      <c r="C20" s="108">
        <f>IFERROR(VLOOKUP(B20,'Control Sheet_Custom'!$A:$B,2,0),"")</f>
        <v>1637157054</v>
      </c>
      <c r="D20" s="108" t="s">
        <v>1037</v>
      </c>
      <c r="E20" s="108" t="s">
        <v>1052</v>
      </c>
      <c r="F20" s="108" t="s">
        <v>1044</v>
      </c>
      <c r="G20" t="e">
        <f t="array" aca="1" ref="G20" ca="1">CLONE1LEVELLIST("Daypart_list",1,,"Mono")</f>
        <v>#VALUE!</v>
      </c>
    </row>
    <row r="21" spans="1:7" hidden="1" x14ac:dyDescent="0.3">
      <c r="A21" s="108"/>
      <c r="B21" s="108">
        <v>5</v>
      </c>
      <c r="C21" s="108">
        <f>IFERROR(VLOOKUP(B21,'Control Sheet_Custom'!$A:$B,2,0),"")</f>
        <v>1637157054</v>
      </c>
      <c r="D21" s="108" t="s">
        <v>1037</v>
      </c>
      <c r="E21" s="108" t="s">
        <v>1053</v>
      </c>
      <c r="F21" s="108" t="s">
        <v>1044</v>
      </c>
      <c r="G21" t="e">
        <f t="array" aca="1" ref="G21" ca="1">CLONE1LEVELLIST("Daypart_list",1,,"Mono")</f>
        <v>#VALUE!</v>
      </c>
    </row>
    <row r="22" spans="1:7" hidden="1" x14ac:dyDescent="0.3">
      <c r="A22" s="108"/>
      <c r="B22" s="108">
        <v>5</v>
      </c>
      <c r="C22" s="108">
        <f>IFERROR(VLOOKUP(B22,'Control Sheet_Custom'!$A:$B,2,0),"")</f>
        <v>1637157054</v>
      </c>
      <c r="D22" s="108" t="s">
        <v>1039</v>
      </c>
      <c r="E22" s="108" t="s">
        <v>1048</v>
      </c>
      <c r="F22" s="108"/>
      <c r="G22" t="e">
        <f ca="1">G18</f>
        <v>#VALUE!</v>
      </c>
    </row>
    <row r="23" spans="1:7" hidden="1" x14ac:dyDescent="0.3">
      <c r="A23" s="108"/>
      <c r="B23" s="108">
        <v>5</v>
      </c>
      <c r="C23" s="108">
        <f>IFERROR(VLOOKUP(B23,'Control Sheet_Custom'!$A:$B,2,0),"")</f>
        <v>1637157054</v>
      </c>
      <c r="D23" s="108" t="s">
        <v>1039</v>
      </c>
      <c r="E23" s="108" t="s">
        <v>1049</v>
      </c>
      <c r="F23" s="108"/>
      <c r="G23" t="e">
        <f ca="1">G19</f>
        <v>#VALUE!</v>
      </c>
    </row>
    <row r="24" spans="1:7" hidden="1" x14ac:dyDescent="0.3">
      <c r="A24" s="108"/>
      <c r="C24" s="108" t="str">
        <f>IFERROR(VLOOKUP(B24,'Control Sheet_Custom'!$A:$B,2,0),"")</f>
        <v/>
      </c>
    </row>
    <row r="25" spans="1:7" hidden="1" x14ac:dyDescent="0.3">
      <c r="A25" s="108"/>
      <c r="B25" s="108">
        <v>6</v>
      </c>
      <c r="C25" s="108">
        <f>IFERROR(VLOOKUP(B25,'Control Sheet_Custom'!$A:$B,2,0),"")</f>
        <v>1637157045</v>
      </c>
      <c r="D25" s="108" t="s">
        <v>1037</v>
      </c>
      <c r="E25" s="108" t="s">
        <v>1054</v>
      </c>
      <c r="F25" s="108" t="s">
        <v>1044</v>
      </c>
      <c r="G25" t="e">
        <f t="array" aca="1" ref="G25" ca="1">CLONE1LEVELLIST("Daypart_list",1,,"Mono")</f>
        <v>#VALUE!</v>
      </c>
    </row>
    <row r="26" spans="1:7" hidden="1" x14ac:dyDescent="0.3">
      <c r="A26" s="108"/>
      <c r="B26" s="108">
        <v>6</v>
      </c>
      <c r="C26" s="108">
        <f>IFERROR(VLOOKUP(B26,'Control Sheet_Custom'!$A:$B,2,0),"")</f>
        <v>1637157045</v>
      </c>
      <c r="D26" s="108" t="s">
        <v>1037</v>
      </c>
      <c r="E26" s="108" t="s">
        <v>1055</v>
      </c>
      <c r="F26" s="108" t="s">
        <v>1044</v>
      </c>
      <c r="G26" t="e">
        <f t="array" aca="1" ref="G26" ca="1">CLONE1LEVELLIST("Daypart_list",1,,"Mono")</f>
        <v>#VALUE!</v>
      </c>
    </row>
    <row r="27" spans="1:7" hidden="1" x14ac:dyDescent="0.3">
      <c r="A27" s="108"/>
      <c r="B27" s="108">
        <v>6</v>
      </c>
      <c r="C27" s="108">
        <f>IFERROR(VLOOKUP(B27,'Control Sheet_Custom'!$A:$B,2,0),"")</f>
        <v>1637157045</v>
      </c>
      <c r="D27" s="108" t="s">
        <v>1037</v>
      </c>
      <c r="E27" s="108" t="s">
        <v>1056</v>
      </c>
      <c r="F27" s="108" t="s">
        <v>1044</v>
      </c>
      <c r="G27" t="e">
        <f t="array" aca="1" ref="G27" ca="1">CLONE1LEVELLIST("Daypart_list",1,,"Mono")</f>
        <v>#VALUE!</v>
      </c>
    </row>
    <row r="28" spans="1:7" hidden="1" x14ac:dyDescent="0.3">
      <c r="A28" s="108"/>
      <c r="B28" s="108">
        <v>6</v>
      </c>
      <c r="C28" s="108">
        <f>IFERROR(VLOOKUP(B28,'Control Sheet_Custom'!$A:$B,2,0),"")</f>
        <v>1637157045</v>
      </c>
      <c r="D28" s="108" t="s">
        <v>1037</v>
      </c>
      <c r="E28" s="108" t="s">
        <v>1057</v>
      </c>
      <c r="F28" s="108" t="s">
        <v>1044</v>
      </c>
      <c r="G28" t="e">
        <f t="array" aca="1" ref="G28" ca="1">CLONE1LEVELLIST("Daypart_list",1,,"Mono")</f>
        <v>#VALUE!</v>
      </c>
    </row>
    <row r="29" spans="1:7" hidden="1" x14ac:dyDescent="0.3">
      <c r="A29" s="108"/>
      <c r="B29" s="108">
        <v>6</v>
      </c>
      <c r="C29" s="108">
        <f>IFERROR(VLOOKUP(B29,'Control Sheet_Custom'!$A:$B,2,0),"")</f>
        <v>1637157045</v>
      </c>
      <c r="D29" s="108" t="s">
        <v>1039</v>
      </c>
      <c r="E29" s="108" t="s">
        <v>1048</v>
      </c>
      <c r="F29" s="108"/>
      <c r="G29" t="e">
        <f ca="1">G25</f>
        <v>#VALUE!</v>
      </c>
    </row>
    <row r="30" spans="1:7" hidden="1" x14ac:dyDescent="0.3">
      <c r="A30" s="108"/>
      <c r="B30" s="108">
        <v>6</v>
      </c>
      <c r="C30" s="108">
        <f>IFERROR(VLOOKUP(B30,'Control Sheet_Custom'!$A:$B,2,0),"")</f>
        <v>1637157045</v>
      </c>
      <c r="D30" s="108" t="s">
        <v>1039</v>
      </c>
      <c r="E30" s="108" t="s">
        <v>1049</v>
      </c>
      <c r="F30" s="108"/>
      <c r="G30" t="e">
        <f ca="1">G26</f>
        <v>#VALUE!</v>
      </c>
    </row>
    <row r="31" spans="1:7" hidden="1" x14ac:dyDescent="0.3">
      <c r="A31" s="108"/>
      <c r="C31" s="108" t="str">
        <f>IFERROR(VLOOKUP(B31,'Control Sheet_Custom'!$A:$B,2,0),"")</f>
        <v/>
      </c>
    </row>
    <row r="32" spans="1:7" hidden="1" x14ac:dyDescent="0.3">
      <c r="A32" s="108"/>
      <c r="B32" s="108">
        <v>7</v>
      </c>
      <c r="C32" s="108" t="str">
        <f>IFERROR(VLOOKUP(B32,'Control Sheet_Custom'!$A:$B,2,0),"")</f>
        <v/>
      </c>
      <c r="D32" s="108" t="s">
        <v>1037</v>
      </c>
      <c r="E32" s="108" t="s">
        <v>1058</v>
      </c>
      <c r="F32" s="108" t="s">
        <v>1044</v>
      </c>
      <c r="G32" t="e">
        <f t="array" aca="1" ref="G32" ca="1">CLONE1LEVELLIST("Daypart_list",1,,"Mono")</f>
        <v>#VALUE!</v>
      </c>
    </row>
    <row r="33" spans="1:7" hidden="1" x14ac:dyDescent="0.3">
      <c r="A33" s="108"/>
      <c r="B33" s="108">
        <v>7</v>
      </c>
      <c r="C33" s="108" t="str">
        <f>IFERROR(VLOOKUP(B33,'Control Sheet_Custom'!$A:$B,2,0),"")</f>
        <v/>
      </c>
      <c r="D33" s="108" t="s">
        <v>1037</v>
      </c>
      <c r="E33" s="108" t="s">
        <v>1059</v>
      </c>
      <c r="F33" s="108" t="s">
        <v>1044</v>
      </c>
      <c r="G33" t="e">
        <f t="array" aca="1" ref="G33" ca="1">CLONE1LEVELLIST("Daypart_list",1,,"Mono")</f>
        <v>#VALUE!</v>
      </c>
    </row>
    <row r="34" spans="1:7" hidden="1" x14ac:dyDescent="0.3">
      <c r="A34" s="108"/>
      <c r="B34" s="108">
        <v>7</v>
      </c>
      <c r="C34" s="108" t="str">
        <f>IFERROR(VLOOKUP(B34,'Control Sheet_Custom'!$A:$B,2,0),"")</f>
        <v/>
      </c>
      <c r="D34" s="108" t="s">
        <v>1037</v>
      </c>
      <c r="E34" s="108" t="s">
        <v>1060</v>
      </c>
      <c r="F34" s="108" t="s">
        <v>1044</v>
      </c>
      <c r="G34" t="e">
        <f t="array" aca="1" ref="G34" ca="1">CLONE1LEVELLIST("Daypart_list",1,,"Mono")</f>
        <v>#VALUE!</v>
      </c>
    </row>
    <row r="35" spans="1:7" hidden="1" x14ac:dyDescent="0.3">
      <c r="A35" s="108"/>
      <c r="B35" s="108">
        <v>7</v>
      </c>
      <c r="C35" s="108" t="str">
        <f>IFERROR(VLOOKUP(B35,'Control Sheet_Custom'!$A:$B,2,0),"")</f>
        <v/>
      </c>
      <c r="D35" s="108" t="s">
        <v>1037</v>
      </c>
      <c r="E35" s="108" t="s">
        <v>1061</v>
      </c>
      <c r="F35" s="108" t="s">
        <v>1044</v>
      </c>
      <c r="G35" t="e">
        <f t="array" aca="1" ref="G35" ca="1">CLONE1LEVELLIST("Daypart_list",1,,"Mono")</f>
        <v>#VALUE!</v>
      </c>
    </row>
    <row r="36" spans="1:7" hidden="1" x14ac:dyDescent="0.3">
      <c r="A36" s="108"/>
      <c r="B36" s="108">
        <v>7</v>
      </c>
      <c r="C36" s="108" t="str">
        <f>IFERROR(VLOOKUP(B36,'Control Sheet_Custom'!$A:$B,2,0),"")</f>
        <v/>
      </c>
      <c r="D36" s="108" t="s">
        <v>1039</v>
      </c>
      <c r="E36" s="108" t="s">
        <v>1048</v>
      </c>
      <c r="F36" s="108"/>
      <c r="G36" t="e">
        <f ca="1">G32</f>
        <v>#VALUE!</v>
      </c>
    </row>
    <row r="37" spans="1:7" hidden="1" x14ac:dyDescent="0.3">
      <c r="A37" s="108"/>
      <c r="B37" s="108">
        <v>7</v>
      </c>
      <c r="C37" s="108" t="str">
        <f>IFERROR(VLOOKUP(B37,'Control Sheet_Custom'!$A:$B,2,0),"")</f>
        <v/>
      </c>
      <c r="D37" s="108" t="s">
        <v>1039</v>
      </c>
      <c r="E37" s="108" t="s">
        <v>1049</v>
      </c>
      <c r="F37" s="108"/>
      <c r="G37" t="e">
        <f ca="1">G33</f>
        <v>#VALUE!</v>
      </c>
    </row>
    <row r="38" spans="1:7" hidden="1" x14ac:dyDescent="0.3">
      <c r="A38" s="108"/>
      <c r="C38" s="108" t="str">
        <f>IFERROR(VLOOKUP(B38,'Control Sheet_Custom'!$A:$B,2,0),"")</f>
        <v/>
      </c>
    </row>
    <row r="39" spans="1:7" hidden="1" x14ac:dyDescent="0.3">
      <c r="A39" s="108"/>
      <c r="B39" s="108">
        <v>4</v>
      </c>
      <c r="C39" s="108">
        <f>IFERROR(VLOOKUP(B39,'Control Sheet_Custom'!$A:$B,2,0),"")</f>
        <v>1637157056</v>
      </c>
      <c r="D39" s="108" t="s">
        <v>1037</v>
      </c>
      <c r="E39" s="108" t="s">
        <v>1062</v>
      </c>
      <c r="F39" s="108" t="s">
        <v>1044</v>
      </c>
      <c r="G39" t="e">
        <f t="array" aca="1" ref="G39" ca="1">CLONE1LEVELLIST("Daypart_list",1,,"Mono")</f>
        <v>#VALUE!</v>
      </c>
    </row>
    <row r="40" spans="1:7" hidden="1" x14ac:dyDescent="0.3">
      <c r="A40" s="108"/>
      <c r="B40" s="108">
        <v>4</v>
      </c>
      <c r="C40" s="108">
        <f>IFERROR(VLOOKUP(B40,'Control Sheet_Custom'!$A:$B,2,0),"")</f>
        <v>1637157056</v>
      </c>
      <c r="D40" s="108" t="s">
        <v>1037</v>
      </c>
      <c r="E40" s="108" t="s">
        <v>1063</v>
      </c>
      <c r="F40" s="108" t="s">
        <v>1044</v>
      </c>
      <c r="G40" t="e">
        <f t="array" aca="1" ref="G40" ca="1">CLONE1LEVELLIST("Daypart_list",1,,"Mono")</f>
        <v>#VALUE!</v>
      </c>
    </row>
    <row r="41" spans="1:7" hidden="1" x14ac:dyDescent="0.3">
      <c r="A41" s="108"/>
      <c r="B41" s="108">
        <v>4</v>
      </c>
      <c r="C41" s="108">
        <f>IFERROR(VLOOKUP(B41,'Control Sheet_Custom'!$A:$B,2,0),"")</f>
        <v>1637157056</v>
      </c>
      <c r="D41" s="108" t="s">
        <v>1037</v>
      </c>
      <c r="E41" s="108" t="s">
        <v>1064</v>
      </c>
      <c r="F41" s="108" t="s">
        <v>1044</v>
      </c>
      <c r="G41" t="e">
        <f t="array" aca="1" ref="G41" ca="1">CLONE1LEVELLIST("Daypart_list",1,,"Mono")</f>
        <v>#VALUE!</v>
      </c>
    </row>
    <row r="42" spans="1:7" hidden="1" x14ac:dyDescent="0.3">
      <c r="A42" s="108"/>
      <c r="B42" s="108">
        <v>4</v>
      </c>
      <c r="C42" s="108">
        <f>IFERROR(VLOOKUP(B42,'Control Sheet_Custom'!$A:$B,2,0),"")</f>
        <v>1637157056</v>
      </c>
      <c r="D42" s="108" t="s">
        <v>1037</v>
      </c>
      <c r="E42" s="108" t="s">
        <v>1065</v>
      </c>
      <c r="F42" s="108" t="s">
        <v>1044</v>
      </c>
      <c r="G42" t="e">
        <f t="array" aca="1" ref="G42" ca="1">CLONE1LEVELLIST("Daypart_list",1,,"Mono")</f>
        <v>#VALUE!</v>
      </c>
    </row>
    <row r="43" spans="1:7" hidden="1" x14ac:dyDescent="0.3">
      <c r="A43" s="108"/>
      <c r="B43" s="108">
        <v>4</v>
      </c>
      <c r="C43" s="108">
        <f>IFERROR(VLOOKUP(B43,'Control Sheet_Custom'!$A:$B,2,0),"")</f>
        <v>1637157056</v>
      </c>
      <c r="D43" s="108" t="s">
        <v>1039</v>
      </c>
      <c r="E43" s="108" t="s">
        <v>1048</v>
      </c>
      <c r="F43" s="108"/>
      <c r="G43" t="e">
        <f ca="1">G39</f>
        <v>#VALUE!</v>
      </c>
    </row>
    <row r="44" spans="1:7" hidden="1" x14ac:dyDescent="0.3">
      <c r="A44" s="108"/>
      <c r="B44" s="108">
        <v>4</v>
      </c>
      <c r="C44" s="108">
        <f>IFERROR(VLOOKUP(B44,'Control Sheet_Custom'!$A:$B,2,0),"")</f>
        <v>1637157056</v>
      </c>
      <c r="D44" s="108" t="s">
        <v>1039</v>
      </c>
      <c r="E44" s="108" t="s">
        <v>1049</v>
      </c>
      <c r="F44" s="108"/>
      <c r="G44" t="e">
        <f ca="1">G40</f>
        <v>#VALUE!</v>
      </c>
    </row>
    <row r="45" spans="1:7" hidden="1" x14ac:dyDescent="0.3">
      <c r="A45" s="108"/>
      <c r="C45" s="108" t="str">
        <f>IFERROR(VLOOKUP(B45,'Control Sheet_Custom'!$A:$B,2,0),"")</f>
        <v/>
      </c>
    </row>
    <row r="46" spans="1:7" hidden="1" x14ac:dyDescent="0.3">
      <c r="A46" s="108"/>
      <c r="B46" s="108">
        <v>15</v>
      </c>
      <c r="C46" s="108" t="str">
        <f>IFERROR(VLOOKUP(B46,'Control Sheet_Custom'!$A:$B,2,0),"")</f>
        <v/>
      </c>
      <c r="D46" s="108" t="s">
        <v>1037</v>
      </c>
      <c r="E46" s="108" t="s">
        <v>1066</v>
      </c>
      <c r="F46" s="108" t="s">
        <v>1044</v>
      </c>
      <c r="G46" t="e">
        <f t="array" aca="1" ref="G46" ca="1">CLONE1LEVELLIST("Snacks_list",10,,"NEON")</f>
        <v>#VALUE!</v>
      </c>
    </row>
    <row r="47" spans="1:7" hidden="1" x14ac:dyDescent="0.3">
      <c r="A47" s="108"/>
      <c r="B47" s="108">
        <v>15</v>
      </c>
      <c r="C47" s="108" t="str">
        <f>IFERROR(VLOOKUP(B47,'Control Sheet_Custom'!$A:$B,2,0),"")</f>
        <v/>
      </c>
      <c r="D47" s="108" t="s">
        <v>1037</v>
      </c>
      <c r="E47" s="108" t="s">
        <v>1067</v>
      </c>
      <c r="F47" s="108" t="s">
        <v>1044</v>
      </c>
      <c r="G47" t="e">
        <f t="array" aca="1" ref="G47" ca="1">CLONE1LEVELLIST("Snacks_list",11,,"NEON")</f>
        <v>#VALUE!</v>
      </c>
    </row>
    <row r="48" spans="1:7" hidden="1" x14ac:dyDescent="0.3">
      <c r="A48" s="108"/>
      <c r="B48" s="108">
        <v>15</v>
      </c>
      <c r="C48" s="108" t="str">
        <f>IFERROR(VLOOKUP(B48,'Control Sheet_Custom'!$A:$B,2,0),"")</f>
        <v/>
      </c>
      <c r="D48" s="108" t="s">
        <v>1037</v>
      </c>
      <c r="E48" s="108" t="s">
        <v>1068</v>
      </c>
      <c r="F48" s="108" t="s">
        <v>1044</v>
      </c>
      <c r="G48" t="e">
        <f t="array" aca="1" ref="G48" ca="1">CLONE1LEVELLIST("Snacks_list",12,,"NEON")</f>
        <v>#VALUE!</v>
      </c>
    </row>
    <row r="49" spans="1:7" hidden="1" x14ac:dyDescent="0.3">
      <c r="A49" s="108"/>
      <c r="B49" s="108">
        <v>15</v>
      </c>
      <c r="C49" s="108" t="str">
        <f>IFERROR(VLOOKUP(B49,'Control Sheet_Custom'!$A:$B,2,0),"")</f>
        <v/>
      </c>
      <c r="D49" s="108" t="s">
        <v>1037</v>
      </c>
      <c r="E49" s="108" t="s">
        <v>1069</v>
      </c>
      <c r="F49" s="108" t="s">
        <v>1044</v>
      </c>
      <c r="G49" t="e">
        <f t="array" aca="1" ref="G49" ca="1">CLONE1LEVELLIST("Snacks_list",13,,"NEON")</f>
        <v>#VALUE!</v>
      </c>
    </row>
    <row r="50" spans="1:7" hidden="1" x14ac:dyDescent="0.3">
      <c r="A50" s="108"/>
      <c r="B50" s="108">
        <v>15</v>
      </c>
      <c r="C50" s="108" t="str">
        <f>IFERROR(VLOOKUP(B50,'Control Sheet_Custom'!$A:$B,2,0),"")</f>
        <v/>
      </c>
      <c r="D50" s="108" t="s">
        <v>1037</v>
      </c>
      <c r="E50" s="108" t="s">
        <v>1070</v>
      </c>
      <c r="F50" s="108" t="s">
        <v>1044</v>
      </c>
      <c r="G50" t="e">
        <f t="array" aca="1" ref="G50" ca="1">CLONE1LEVELLIST("Snacks_list",14,,"NEON")</f>
        <v>#VALUE!</v>
      </c>
    </row>
    <row r="51" spans="1:7" hidden="1" x14ac:dyDescent="0.3">
      <c r="A51" s="108"/>
      <c r="B51" s="108">
        <v>15</v>
      </c>
      <c r="C51" s="108" t="str">
        <f>IFERROR(VLOOKUP(B51,'Control Sheet_Custom'!$A:$B,2,0),"")</f>
        <v/>
      </c>
      <c r="D51" s="108" t="s">
        <v>1037</v>
      </c>
      <c r="E51" s="108" t="s">
        <v>1071</v>
      </c>
      <c r="F51" s="108" t="s">
        <v>1044</v>
      </c>
      <c r="G51" t="e">
        <f t="array" aca="1" ref="G51" ca="1">CLONE1LEVELLIST("Snacks_list",15,,"NEON")</f>
        <v>#VALUE!</v>
      </c>
    </row>
    <row r="52" spans="1:7" hidden="1" x14ac:dyDescent="0.3">
      <c r="A52" s="108"/>
      <c r="B52" s="108">
        <v>15</v>
      </c>
      <c r="C52" s="108" t="str">
        <f>IFERROR(VLOOKUP(B52,'Control Sheet_Custom'!$A:$B,2,0),"")</f>
        <v/>
      </c>
      <c r="D52" s="108" t="s">
        <v>1037</v>
      </c>
      <c r="E52" s="108" t="s">
        <v>1072</v>
      </c>
      <c r="F52" s="108" t="s">
        <v>1044</v>
      </c>
      <c r="G52" t="e">
        <f t="array" aca="1" ref="G52" ca="1">CLONE1LEVELLIST("Snacks_list",16,,"NEON")</f>
        <v>#VALUE!</v>
      </c>
    </row>
    <row r="53" spans="1:7" hidden="1" x14ac:dyDescent="0.3">
      <c r="A53" s="108"/>
      <c r="B53" s="108">
        <v>15</v>
      </c>
      <c r="C53" s="108" t="str">
        <f>IFERROR(VLOOKUP(B53,'Control Sheet_Custom'!$A:$B,2,0),"")</f>
        <v/>
      </c>
      <c r="D53" s="108" t="s">
        <v>1037</v>
      </c>
      <c r="E53" s="108" t="s">
        <v>1073</v>
      </c>
      <c r="F53" s="108" t="s">
        <v>1044</v>
      </c>
      <c r="G53" t="e">
        <f t="array" aca="1" ref="G53" ca="1">CLONE1LEVELLIST("Snacks_list",17,,"NEON")</f>
        <v>#VALUE!</v>
      </c>
    </row>
    <row r="54" spans="1:7" hidden="1" x14ac:dyDescent="0.3">
      <c r="A54" s="108"/>
      <c r="B54" s="108">
        <v>15</v>
      </c>
      <c r="C54" s="108" t="str">
        <f>IFERROR(VLOOKUP(B54,'Control Sheet_Custom'!$A:$B,2,0),"")</f>
        <v/>
      </c>
      <c r="D54" s="108" t="s">
        <v>1037</v>
      </c>
      <c r="E54" s="108" t="s">
        <v>1074</v>
      </c>
      <c r="F54" s="108" t="s">
        <v>1044</v>
      </c>
      <c r="G54" t="e">
        <f t="array" aca="1" ref="G54" ca="1">CLONE1LEVELLIST("Snacks_list",18,,"NEON")</f>
        <v>#VALUE!</v>
      </c>
    </row>
    <row r="55" spans="1:7" hidden="1" x14ac:dyDescent="0.3">
      <c r="A55" s="108"/>
      <c r="B55" s="108">
        <v>15</v>
      </c>
      <c r="C55" s="108" t="str">
        <f>IFERROR(VLOOKUP(B55,'Control Sheet_Custom'!$A:$B,2,0),"")</f>
        <v/>
      </c>
      <c r="D55" s="108" t="s">
        <v>1039</v>
      </c>
      <c r="E55" s="108" t="s">
        <v>1075</v>
      </c>
      <c r="F55" s="108"/>
      <c r="G55" t="e">
        <f t="shared" ref="G55:G63" ca="1" si="0">G46</f>
        <v>#VALUE!</v>
      </c>
    </row>
    <row r="56" spans="1:7" hidden="1" x14ac:dyDescent="0.3">
      <c r="A56" s="108"/>
      <c r="B56" s="108">
        <v>15</v>
      </c>
      <c r="C56" s="108" t="str">
        <f>IFERROR(VLOOKUP(B56,'Control Sheet_Custom'!$A:$B,2,0),"")</f>
        <v/>
      </c>
      <c r="D56" s="108" t="s">
        <v>1039</v>
      </c>
      <c r="E56" s="108" t="s">
        <v>1076</v>
      </c>
      <c r="F56" s="108"/>
      <c r="G56" t="e">
        <f t="shared" ca="1" si="0"/>
        <v>#VALUE!</v>
      </c>
    </row>
    <row r="57" spans="1:7" hidden="1" x14ac:dyDescent="0.3">
      <c r="A57" s="108"/>
      <c r="B57" s="108">
        <v>15</v>
      </c>
      <c r="C57" s="108" t="str">
        <f>IFERROR(VLOOKUP(B57,'Control Sheet_Custom'!$A:$B,2,0),"")</f>
        <v/>
      </c>
      <c r="D57" s="108" t="s">
        <v>1039</v>
      </c>
      <c r="E57" s="108" t="s">
        <v>1077</v>
      </c>
      <c r="F57" s="108"/>
      <c r="G57" t="e">
        <f t="shared" ca="1" si="0"/>
        <v>#VALUE!</v>
      </c>
    </row>
    <row r="58" spans="1:7" hidden="1" x14ac:dyDescent="0.3">
      <c r="A58" s="108"/>
      <c r="B58" s="108">
        <v>15</v>
      </c>
      <c r="C58" s="108" t="str">
        <f>IFERROR(VLOOKUP(B58,'Control Sheet_Custom'!$A:$B,2,0),"")</f>
        <v/>
      </c>
      <c r="D58" s="108" t="s">
        <v>1039</v>
      </c>
      <c r="E58" s="108" t="s">
        <v>1078</v>
      </c>
      <c r="F58" s="108"/>
      <c r="G58" t="e">
        <f t="shared" ca="1" si="0"/>
        <v>#VALUE!</v>
      </c>
    </row>
    <row r="59" spans="1:7" hidden="1" x14ac:dyDescent="0.3">
      <c r="A59" s="108"/>
      <c r="B59" s="108">
        <v>15</v>
      </c>
      <c r="C59" s="108" t="str">
        <f>IFERROR(VLOOKUP(B59,'Control Sheet_Custom'!$A:$B,2,0),"")</f>
        <v/>
      </c>
      <c r="D59" s="108" t="s">
        <v>1039</v>
      </c>
      <c r="E59" s="108" t="s">
        <v>1079</v>
      </c>
      <c r="F59" s="108"/>
      <c r="G59" t="e">
        <f t="shared" ca="1" si="0"/>
        <v>#VALUE!</v>
      </c>
    </row>
    <row r="60" spans="1:7" hidden="1" x14ac:dyDescent="0.3">
      <c r="A60" s="108"/>
      <c r="B60" s="108">
        <v>15</v>
      </c>
      <c r="C60" s="108" t="str">
        <f>IFERROR(VLOOKUP(B60,'Control Sheet_Custom'!$A:$B,2,0),"")</f>
        <v/>
      </c>
      <c r="D60" s="108" t="s">
        <v>1039</v>
      </c>
      <c r="E60" s="108" t="s">
        <v>1080</v>
      </c>
      <c r="F60" s="108"/>
      <c r="G60" t="e">
        <f t="shared" ca="1" si="0"/>
        <v>#VALUE!</v>
      </c>
    </row>
    <row r="61" spans="1:7" hidden="1" x14ac:dyDescent="0.3">
      <c r="A61" s="108"/>
      <c r="B61" s="108">
        <v>15</v>
      </c>
      <c r="C61" s="108" t="str">
        <f>IFERROR(VLOOKUP(B61,'Control Sheet_Custom'!$A:$B,2,0),"")</f>
        <v/>
      </c>
      <c r="D61" s="108" t="s">
        <v>1039</v>
      </c>
      <c r="E61" s="108" t="s">
        <v>1081</v>
      </c>
      <c r="F61" s="108"/>
      <c r="G61" t="e">
        <f t="shared" ca="1" si="0"/>
        <v>#VALUE!</v>
      </c>
    </row>
    <row r="62" spans="1:7" hidden="1" x14ac:dyDescent="0.3">
      <c r="A62" s="108"/>
      <c r="B62" s="108">
        <v>15</v>
      </c>
      <c r="C62" s="108" t="str">
        <f>IFERROR(VLOOKUP(B62,'Control Sheet_Custom'!$A:$B,2,0),"")</f>
        <v/>
      </c>
      <c r="D62" s="108" t="s">
        <v>1039</v>
      </c>
      <c r="E62" s="108" t="s">
        <v>1082</v>
      </c>
      <c r="F62" s="108"/>
      <c r="G62" t="e">
        <f t="shared" ca="1" si="0"/>
        <v>#VALUE!</v>
      </c>
    </row>
    <row r="63" spans="1:7" hidden="1" x14ac:dyDescent="0.3">
      <c r="A63" s="108"/>
      <c r="B63" s="108">
        <v>15</v>
      </c>
      <c r="C63" s="108" t="str">
        <f>IFERROR(VLOOKUP(B63,'Control Sheet_Custom'!$A:$B,2,0),"")</f>
        <v/>
      </c>
      <c r="D63" s="108" t="s">
        <v>1039</v>
      </c>
      <c r="E63" s="108" t="s">
        <v>1083</v>
      </c>
      <c r="F63" s="108"/>
      <c r="G63" t="e">
        <f t="shared" ca="1" si="0"/>
        <v>#VALUE!</v>
      </c>
    </row>
    <row r="64" spans="1:7" hidden="1" x14ac:dyDescent="0.3">
      <c r="A64" s="108"/>
      <c r="C64" s="108" t="str">
        <f>IFERROR(VLOOKUP(B64,'Control Sheet_Custom'!$A:$B,2,0),"")</f>
        <v/>
      </c>
    </row>
    <row r="65" spans="1:13" hidden="1" x14ac:dyDescent="0.3">
      <c r="A65" s="108"/>
      <c r="B65" s="108">
        <v>2</v>
      </c>
      <c r="C65" s="108">
        <f>IFERROR(VLOOKUP(B65,'Control Sheet_Custom'!$A:$B,2,0),"")</f>
        <v>1637157044</v>
      </c>
      <c r="D65" s="108" t="s">
        <v>1037</v>
      </c>
      <c r="E65" s="108" t="s">
        <v>1066</v>
      </c>
      <c r="F65" s="108" t="s">
        <v>1044</v>
      </c>
      <c r="G65" t="e">
        <f t="array" aca="1" ref="G65" ca="1">CLONE1LEVELLIST("C_list",10,,"NEON")</f>
        <v>#VALUE!</v>
      </c>
      <c r="L65" s="129"/>
      <c r="M65" s="129"/>
    </row>
    <row r="66" spans="1:13" hidden="1" x14ac:dyDescent="0.3">
      <c r="A66" s="108"/>
      <c r="B66" s="108">
        <v>2</v>
      </c>
      <c r="C66" s="108">
        <f>IFERROR(VLOOKUP(B66,'Control Sheet_Custom'!$A:$B,2,0),"")</f>
        <v>1637157044</v>
      </c>
      <c r="D66" s="108" t="s">
        <v>1037</v>
      </c>
      <c r="E66" s="108" t="s">
        <v>1067</v>
      </c>
      <c r="F66" s="108" t="s">
        <v>1044</v>
      </c>
      <c r="G66" t="e">
        <f t="array" aca="1" ref="G66" ca="1">CLONE1LEVELLIST("C_list",11,,"NEON")</f>
        <v>#VALUE!</v>
      </c>
      <c r="L66" s="129"/>
      <c r="M66" s="129"/>
    </row>
    <row r="67" spans="1:13" hidden="1" x14ac:dyDescent="0.3">
      <c r="A67" s="108"/>
      <c r="B67" s="108">
        <v>2</v>
      </c>
      <c r="C67" s="108">
        <f>IFERROR(VLOOKUP(B67,'Control Sheet_Custom'!$A:$B,2,0),"")</f>
        <v>1637157044</v>
      </c>
      <c r="D67" s="108" t="s">
        <v>1037</v>
      </c>
      <c r="E67" s="108" t="s">
        <v>1068</v>
      </c>
      <c r="F67" s="108" t="s">
        <v>1044</v>
      </c>
      <c r="G67" t="e">
        <f t="array" aca="1" ref="G67" ca="1">CLONE1LEVELLIST("C_list",12,,"NEON")</f>
        <v>#VALUE!</v>
      </c>
      <c r="L67" s="129"/>
      <c r="M67" s="129"/>
    </row>
    <row r="68" spans="1:13" hidden="1" x14ac:dyDescent="0.3">
      <c r="A68" s="108"/>
      <c r="B68" s="108">
        <v>2</v>
      </c>
      <c r="C68" s="108">
        <f>IFERROR(VLOOKUP(B68,'Control Sheet_Custom'!$A:$B,2,0),"")</f>
        <v>1637157044</v>
      </c>
      <c r="D68" s="108" t="s">
        <v>1037</v>
      </c>
      <c r="E68" s="108" t="s">
        <v>1069</v>
      </c>
      <c r="F68" s="108" t="s">
        <v>1044</v>
      </c>
      <c r="G68" t="e">
        <f t="array" aca="1" ref="G68" ca="1">CLONE1LEVELLIST("C_list",13,,"NEON")</f>
        <v>#VALUE!</v>
      </c>
      <c r="L68" s="129"/>
      <c r="M68" s="129"/>
    </row>
    <row r="69" spans="1:13" hidden="1" x14ac:dyDescent="0.3">
      <c r="A69" s="108"/>
      <c r="B69" s="108">
        <v>2</v>
      </c>
      <c r="C69" s="108">
        <f>IFERROR(VLOOKUP(B69,'Control Sheet_Custom'!$A:$B,2,0),"")</f>
        <v>1637157044</v>
      </c>
      <c r="D69" s="108" t="s">
        <v>1037</v>
      </c>
      <c r="E69" s="108" t="s">
        <v>1070</v>
      </c>
      <c r="F69" s="108" t="s">
        <v>1044</v>
      </c>
      <c r="G69" t="e">
        <f t="array" aca="1" ref="G69" ca="1">CLONE1LEVELLIST("C_list",14,,"NEON")</f>
        <v>#VALUE!</v>
      </c>
      <c r="L69" s="129"/>
      <c r="M69" s="129"/>
    </row>
    <row r="70" spans="1:13" hidden="1" x14ac:dyDescent="0.3">
      <c r="A70" s="108"/>
      <c r="B70" s="108">
        <v>2</v>
      </c>
      <c r="C70" s="108">
        <f>IFERROR(VLOOKUP(B70,'Control Sheet_Custom'!$A:$B,2,0),"")</f>
        <v>1637157044</v>
      </c>
      <c r="D70" s="108" t="s">
        <v>1037</v>
      </c>
      <c r="E70" s="108" t="s">
        <v>1071</v>
      </c>
      <c r="F70" s="108" t="s">
        <v>1044</v>
      </c>
      <c r="G70" t="e">
        <f t="array" aca="1" ref="G70" ca="1">CLONE1LEVELLIST("C_list",15,,"NEON")</f>
        <v>#VALUE!</v>
      </c>
      <c r="L70" s="129"/>
      <c r="M70" s="129"/>
    </row>
    <row r="71" spans="1:13" hidden="1" x14ac:dyDescent="0.3">
      <c r="A71" s="108"/>
      <c r="B71" s="108">
        <v>2</v>
      </c>
      <c r="C71" s="108">
        <f>IFERROR(VLOOKUP(B71,'Control Sheet_Custom'!$A:$B,2,0),"")</f>
        <v>1637157044</v>
      </c>
      <c r="D71" s="108" t="s">
        <v>1037</v>
      </c>
      <c r="E71" s="108" t="s">
        <v>1072</v>
      </c>
      <c r="F71" s="108" t="s">
        <v>1044</v>
      </c>
      <c r="G71" t="e">
        <f t="array" aca="1" ref="G71" ca="1">CLONE1LEVELLIST("C_list",16,,"NEON")</f>
        <v>#VALUE!</v>
      </c>
      <c r="L71" s="129"/>
      <c r="M71" s="129"/>
    </row>
    <row r="72" spans="1:13" hidden="1" x14ac:dyDescent="0.3">
      <c r="A72" s="108"/>
      <c r="B72" s="108">
        <v>2</v>
      </c>
      <c r="C72" s="108">
        <f>IFERROR(VLOOKUP(B72,'Control Sheet_Custom'!$A:$B,2,0),"")</f>
        <v>1637157044</v>
      </c>
      <c r="D72" s="108" t="s">
        <v>1037</v>
      </c>
      <c r="E72" s="108" t="s">
        <v>1073</v>
      </c>
      <c r="F72" s="108" t="s">
        <v>1044</v>
      </c>
      <c r="G72" t="e">
        <f t="array" aca="1" ref="G72" ca="1">CLONE1LEVELLIST("C_list",17,,"NEON")</f>
        <v>#VALUE!</v>
      </c>
      <c r="L72" s="129"/>
      <c r="M72" s="129"/>
    </row>
    <row r="73" spans="1:13" hidden="1" x14ac:dyDescent="0.3">
      <c r="A73" s="108"/>
      <c r="B73" s="108">
        <v>2</v>
      </c>
      <c r="C73" s="108">
        <f>IFERROR(VLOOKUP(B73,'Control Sheet_Custom'!$A:$B,2,0),"")</f>
        <v>1637157044</v>
      </c>
      <c r="D73" s="108" t="s">
        <v>1037</v>
      </c>
      <c r="E73" s="108" t="s">
        <v>1074</v>
      </c>
      <c r="F73" s="108" t="s">
        <v>1044</v>
      </c>
      <c r="G73" t="e">
        <f t="array" aca="1" ref="G73" ca="1">CLONE1LEVELLIST("C_list",18,,"NEON")</f>
        <v>#VALUE!</v>
      </c>
      <c r="L73" s="129"/>
      <c r="M73" s="129"/>
    </row>
    <row r="74" spans="1:13" hidden="1" x14ac:dyDescent="0.3">
      <c r="A74" s="108"/>
      <c r="B74" s="108">
        <v>2</v>
      </c>
      <c r="C74" s="108">
        <f>IFERROR(VLOOKUP(B74,'Control Sheet_Custom'!$A:$B,2,0),"")</f>
        <v>1637157044</v>
      </c>
      <c r="D74" s="108" t="s">
        <v>1039</v>
      </c>
      <c r="E74" s="108" t="s">
        <v>1075</v>
      </c>
      <c r="F74" s="108"/>
      <c r="G74" t="e">
        <f t="shared" ref="G74:G82" ca="1" si="1">G65</f>
        <v>#VALUE!</v>
      </c>
      <c r="L74" s="142"/>
    </row>
    <row r="75" spans="1:13" hidden="1" x14ac:dyDescent="0.3">
      <c r="A75" s="108"/>
      <c r="B75" s="108">
        <v>2</v>
      </c>
      <c r="C75" s="108">
        <f>IFERROR(VLOOKUP(B75,'Control Sheet_Custom'!$A:$B,2,0),"")</f>
        <v>1637157044</v>
      </c>
      <c r="D75" s="108" t="s">
        <v>1039</v>
      </c>
      <c r="E75" s="108" t="s">
        <v>1076</v>
      </c>
      <c r="F75" s="108"/>
      <c r="G75" t="e">
        <f t="shared" ca="1" si="1"/>
        <v>#VALUE!</v>
      </c>
      <c r="L75" s="142"/>
    </row>
    <row r="76" spans="1:13" hidden="1" x14ac:dyDescent="0.3">
      <c r="A76" s="108"/>
      <c r="B76" s="108">
        <v>2</v>
      </c>
      <c r="C76" s="108">
        <f>IFERROR(VLOOKUP(B76,'Control Sheet_Custom'!$A:$B,2,0),"")</f>
        <v>1637157044</v>
      </c>
      <c r="D76" s="108" t="s">
        <v>1039</v>
      </c>
      <c r="E76" s="108" t="s">
        <v>1077</v>
      </c>
      <c r="F76" s="108"/>
      <c r="G76" t="e">
        <f t="shared" ca="1" si="1"/>
        <v>#VALUE!</v>
      </c>
      <c r="L76" s="142"/>
    </row>
    <row r="77" spans="1:13" hidden="1" x14ac:dyDescent="0.3">
      <c r="A77" s="108"/>
      <c r="B77" s="108">
        <v>2</v>
      </c>
      <c r="C77" s="108">
        <f>IFERROR(VLOOKUP(B77,'Control Sheet_Custom'!$A:$B,2,0),"")</f>
        <v>1637157044</v>
      </c>
      <c r="D77" s="108" t="s">
        <v>1039</v>
      </c>
      <c r="E77" s="108" t="s">
        <v>1078</v>
      </c>
      <c r="F77" s="108"/>
      <c r="G77" t="e">
        <f t="shared" ca="1" si="1"/>
        <v>#VALUE!</v>
      </c>
      <c r="L77" s="142"/>
    </row>
    <row r="78" spans="1:13" hidden="1" x14ac:dyDescent="0.3">
      <c r="A78" s="108"/>
      <c r="B78" s="108">
        <v>2</v>
      </c>
      <c r="C78" s="108">
        <f>IFERROR(VLOOKUP(B78,'Control Sheet_Custom'!$A:$B,2,0),"")</f>
        <v>1637157044</v>
      </c>
      <c r="D78" s="108" t="s">
        <v>1039</v>
      </c>
      <c r="E78" s="108" t="s">
        <v>1079</v>
      </c>
      <c r="F78" s="108"/>
      <c r="G78" t="e">
        <f t="shared" ca="1" si="1"/>
        <v>#VALUE!</v>
      </c>
      <c r="L78" s="142"/>
    </row>
    <row r="79" spans="1:13" hidden="1" x14ac:dyDescent="0.3">
      <c r="A79" s="108"/>
      <c r="B79" s="108">
        <v>2</v>
      </c>
      <c r="C79" s="108">
        <f>IFERROR(VLOOKUP(B79,'Control Sheet_Custom'!$A:$B,2,0),"")</f>
        <v>1637157044</v>
      </c>
      <c r="D79" s="108" t="s">
        <v>1039</v>
      </c>
      <c r="E79" s="108" t="s">
        <v>1080</v>
      </c>
      <c r="F79" s="108"/>
      <c r="G79" t="e">
        <f t="shared" ca="1" si="1"/>
        <v>#VALUE!</v>
      </c>
      <c r="L79" s="142"/>
    </row>
    <row r="80" spans="1:13" hidden="1" x14ac:dyDescent="0.3">
      <c r="A80" s="108"/>
      <c r="B80" s="108">
        <v>2</v>
      </c>
      <c r="C80" s="108">
        <f>IFERROR(VLOOKUP(B80,'Control Sheet_Custom'!$A:$B,2,0),"")</f>
        <v>1637157044</v>
      </c>
      <c r="D80" s="108" t="s">
        <v>1039</v>
      </c>
      <c r="E80" s="108" t="s">
        <v>1081</v>
      </c>
      <c r="F80" s="108"/>
      <c r="G80" t="e">
        <f t="shared" ca="1" si="1"/>
        <v>#VALUE!</v>
      </c>
      <c r="L80" s="142"/>
    </row>
    <row r="81" spans="1:12" hidden="1" x14ac:dyDescent="0.3">
      <c r="A81" s="108"/>
      <c r="B81" s="108">
        <v>2</v>
      </c>
      <c r="C81" s="108">
        <f>IFERROR(VLOOKUP(B81,'Control Sheet_Custom'!$A:$B,2,0),"")</f>
        <v>1637157044</v>
      </c>
      <c r="D81" s="108" t="s">
        <v>1039</v>
      </c>
      <c r="E81" s="108" t="s">
        <v>1082</v>
      </c>
      <c r="F81" s="108"/>
      <c r="G81" t="e">
        <f t="shared" ca="1" si="1"/>
        <v>#VALUE!</v>
      </c>
      <c r="L81" s="142"/>
    </row>
    <row r="82" spans="1:12" hidden="1" x14ac:dyDescent="0.3">
      <c r="A82" s="108"/>
      <c r="B82" s="108">
        <v>2</v>
      </c>
      <c r="C82" s="108">
        <f>IFERROR(VLOOKUP(B82,'Control Sheet_Custom'!$A:$B,2,0),"")</f>
        <v>1637157044</v>
      </c>
      <c r="D82" s="108" t="s">
        <v>1039</v>
      </c>
      <c r="E82" s="108" t="s">
        <v>1083</v>
      </c>
      <c r="F82" s="108"/>
      <c r="G82" t="e">
        <f t="shared" ca="1" si="1"/>
        <v>#VALUE!</v>
      </c>
      <c r="L82" s="142"/>
    </row>
    <row r="83" spans="1:12" hidden="1" x14ac:dyDescent="0.3">
      <c r="C83" s="108" t="str">
        <f>IFERROR(VLOOKUP(B83,'Control Sheet_Custom'!$A:$B,2,0),"")</f>
        <v/>
      </c>
    </row>
    <row r="84" spans="1:12" hidden="1" x14ac:dyDescent="0.3">
      <c r="A84" s="108"/>
      <c r="B84" s="108">
        <v>9</v>
      </c>
      <c r="C84" s="108" t="str">
        <f>IFERROR(VLOOKUP(B84,'Control Sheet_Custom'!$A:$B,2,0),"")</f>
        <v/>
      </c>
      <c r="D84" s="108" t="s">
        <v>1037</v>
      </c>
      <c r="E84" s="143" t="s">
        <v>1066</v>
      </c>
      <c r="F84" s="143" t="s">
        <v>1044</v>
      </c>
      <c r="G84" t="e">
        <f t="array" aca="1" ref="G84" ca="1">CLONE1LEVELLIST("Brand_clone",1,,"Mono")</f>
        <v>#VALUE!</v>
      </c>
    </row>
    <row r="85" spans="1:12" hidden="1" x14ac:dyDescent="0.3">
      <c r="A85" s="108"/>
      <c r="B85" s="108">
        <v>9</v>
      </c>
      <c r="C85" s="108" t="str">
        <f>IFERROR(VLOOKUP(B85,'Control Sheet_Custom'!$A:$B,2,0),"")</f>
        <v/>
      </c>
      <c r="D85" s="108" t="s">
        <v>1037</v>
      </c>
      <c r="E85" s="143" t="s">
        <v>1084</v>
      </c>
      <c r="F85" s="143" t="s">
        <v>1044</v>
      </c>
      <c r="G85" t="e">
        <f t="array" aca="1" ref="G85" ca="1">CLONE1LEVELLIST("Brand_clone",1,,"Mono")</f>
        <v>#VALUE!</v>
      </c>
    </row>
    <row r="86" spans="1:12" hidden="1" x14ac:dyDescent="0.3">
      <c r="A86" s="108"/>
      <c r="B86" s="108">
        <v>9</v>
      </c>
      <c r="C86" s="108" t="str">
        <f>IFERROR(VLOOKUP(B86,'Control Sheet_Custom'!$A:$B,2,0),"")</f>
        <v/>
      </c>
      <c r="D86" s="108" t="s">
        <v>1037</v>
      </c>
      <c r="E86" s="143" t="s">
        <v>1085</v>
      </c>
      <c r="F86" s="143" t="s">
        <v>1044</v>
      </c>
      <c r="G86" t="e">
        <f t="array" aca="1" ref="G86" ca="1">CLONE1LEVELLIST("Brand_clone",1,,"Mono")</f>
        <v>#VALUE!</v>
      </c>
    </row>
    <row r="87" spans="1:12" hidden="1" x14ac:dyDescent="0.3">
      <c r="A87" s="108"/>
      <c r="B87" s="108">
        <v>9</v>
      </c>
      <c r="C87" s="108" t="str">
        <f>IFERROR(VLOOKUP(B87,'Control Sheet_Custom'!$A:$B,2,0),"")</f>
        <v/>
      </c>
      <c r="D87" s="108" t="s">
        <v>1037</v>
      </c>
      <c r="E87" s="143" t="s">
        <v>1086</v>
      </c>
      <c r="F87" s="143" t="s">
        <v>1044</v>
      </c>
      <c r="G87" t="e">
        <f t="array" aca="1" ref="G87" ca="1">CLONE1LEVELLIST("Brand_clone",1,,"Mono")</f>
        <v>#VALUE!</v>
      </c>
    </row>
    <row r="88" spans="1:12" hidden="1" x14ac:dyDescent="0.3">
      <c r="A88" s="108"/>
      <c r="B88" s="108">
        <v>9</v>
      </c>
      <c r="C88" s="108" t="str">
        <f>IFERROR(VLOOKUP(B88,'Control Sheet_Custom'!$A:$B,2,0),"")</f>
        <v/>
      </c>
      <c r="D88" s="108" t="s">
        <v>1037</v>
      </c>
      <c r="E88" s="143" t="s">
        <v>42</v>
      </c>
      <c r="F88" s="143" t="s">
        <v>1044</v>
      </c>
      <c r="G88" t="e">
        <f t="array" aca="1" ref="G88" ca="1">CLONE1LEVELLIST("Brand_clone",1,,"Mono")</f>
        <v>#VALUE!</v>
      </c>
    </row>
    <row r="89" spans="1:12" hidden="1" x14ac:dyDescent="0.3">
      <c r="A89" s="108"/>
      <c r="B89" s="108">
        <v>9</v>
      </c>
      <c r="C89" s="108" t="str">
        <f>IFERROR(VLOOKUP(B89,'Control Sheet_Custom'!$A:$B,2,0),"")</f>
        <v/>
      </c>
      <c r="D89" s="108" t="s">
        <v>1037</v>
      </c>
      <c r="E89" s="143" t="s">
        <v>1087</v>
      </c>
      <c r="F89" s="143" t="s">
        <v>1044</v>
      </c>
      <c r="G89" t="e">
        <f t="array" aca="1" ref="G89" ca="1">CLONE1LEVELLIST("Brand_clone",1,,"Mono")</f>
        <v>#VALUE!</v>
      </c>
    </row>
    <row r="90" spans="1:12" hidden="1" x14ac:dyDescent="0.3">
      <c r="A90" s="108"/>
      <c r="B90" s="108">
        <v>9</v>
      </c>
      <c r="C90" s="108" t="str">
        <f>IFERROR(VLOOKUP(B90,'Control Sheet_Custom'!$A:$B,2,0),"")</f>
        <v/>
      </c>
      <c r="D90" s="108" t="s">
        <v>1037</v>
      </c>
      <c r="E90" s="143" t="s">
        <v>1088</v>
      </c>
      <c r="F90" s="143" t="s">
        <v>1044</v>
      </c>
      <c r="G90" t="e">
        <f t="array" aca="1" ref="G90" ca="1">CLONE1LEVELLIST("Brand_clone",1,,"Mono")</f>
        <v>#VALUE!</v>
      </c>
    </row>
    <row r="91" spans="1:12" hidden="1" x14ac:dyDescent="0.3">
      <c r="A91" s="108"/>
      <c r="B91" s="108">
        <v>9</v>
      </c>
      <c r="C91" s="108" t="str">
        <f>IFERROR(VLOOKUP(B91,'Control Sheet_Custom'!$A:$B,2,0),"")</f>
        <v/>
      </c>
      <c r="D91" s="108" t="s">
        <v>1039</v>
      </c>
      <c r="E91" s="143" t="s">
        <v>1089</v>
      </c>
      <c r="F91" s="143"/>
      <c r="G91" t="e">
        <f t="array" aca="1" ref="G91" ca="1">CLONE1LEVELLIST("Brand_clone",1,,"Mono")</f>
        <v>#VALUE!</v>
      </c>
    </row>
    <row r="92" spans="1:12" hidden="1" x14ac:dyDescent="0.3">
      <c r="A92" s="108"/>
      <c r="B92" s="108">
        <v>9</v>
      </c>
      <c r="C92" s="108" t="str">
        <f>IFERROR(VLOOKUP(B92,'Control Sheet_Custom'!$A:$B,2,0),"")</f>
        <v/>
      </c>
      <c r="D92" s="108" t="s">
        <v>1039</v>
      </c>
      <c r="E92" s="143" t="s">
        <v>1090</v>
      </c>
      <c r="F92" s="143" t="s">
        <v>1044</v>
      </c>
      <c r="G92" t="e">
        <f t="array" aca="1" ref="G92" ca="1">CLONE1LEVELLIST("Brand_clone",1,,"Mono")</f>
        <v>#VALUE!</v>
      </c>
    </row>
    <row r="93" spans="1:12" hidden="1" x14ac:dyDescent="0.3">
      <c r="A93" s="108"/>
      <c r="B93" s="108">
        <v>9</v>
      </c>
      <c r="C93" s="108" t="str">
        <f>IFERROR(VLOOKUP(B93,'Control Sheet_Custom'!$A:$B,2,0),"")</f>
        <v/>
      </c>
      <c r="D93" s="108" t="s">
        <v>1039</v>
      </c>
      <c r="E93" s="143" t="s">
        <v>1091</v>
      </c>
      <c r="F93" s="143" t="s">
        <v>1044</v>
      </c>
      <c r="G93" t="e">
        <f t="array" aca="1" ref="G93" ca="1">CLONE1LEVELLIST("Brand_clone",1,,"Mono")</f>
        <v>#VALUE!</v>
      </c>
    </row>
    <row r="94" spans="1:12" hidden="1" x14ac:dyDescent="0.3">
      <c r="A94" s="108"/>
      <c r="C94" s="108" t="str">
        <f>IFERROR(VLOOKUP(B94,'Control Sheet_Custom'!$A:$B,2,0),"")</f>
        <v/>
      </c>
    </row>
    <row r="95" spans="1:12" hidden="1" x14ac:dyDescent="0.3">
      <c r="A95" s="108"/>
      <c r="B95" s="108">
        <v>10</v>
      </c>
      <c r="C95" s="108" t="str">
        <f>IFERROR(VLOOKUP(B95,'Control Sheet_Custom'!$A:$B,2,0),"")</f>
        <v/>
      </c>
      <c r="D95" s="108" t="s">
        <v>1037</v>
      </c>
      <c r="E95" s="143" t="s">
        <v>1092</v>
      </c>
      <c r="F95" s="143" t="s">
        <v>1044</v>
      </c>
      <c r="G95" t="e">
        <f t="array" aca="1" ref="G95" ca="1">CLONE1LEVELLIST("Brand_clone",1,,"Mono")</f>
        <v>#VALUE!</v>
      </c>
    </row>
    <row r="96" spans="1:12" hidden="1" x14ac:dyDescent="0.3">
      <c r="A96" s="108"/>
      <c r="B96" s="108">
        <v>10</v>
      </c>
      <c r="C96" s="108" t="str">
        <f>IFERROR(VLOOKUP(B96,'Control Sheet_Custom'!$A:$B,2,0),"")</f>
        <v/>
      </c>
      <c r="D96" s="108" t="s">
        <v>1037</v>
      </c>
      <c r="E96" s="143" t="s">
        <v>1093</v>
      </c>
      <c r="F96" s="143" t="s">
        <v>1044</v>
      </c>
      <c r="G96" t="e">
        <f t="array" aca="1" ref="G96" ca="1">CLONE1LEVELLIST("Brand_clone",1,,"Mono")</f>
        <v>#VALUE!</v>
      </c>
    </row>
    <row r="97" spans="1:7" hidden="1" x14ac:dyDescent="0.3">
      <c r="A97" s="108"/>
      <c r="B97" s="108">
        <v>10</v>
      </c>
      <c r="C97" s="108" t="str">
        <f>IFERROR(VLOOKUP(B97,'Control Sheet_Custom'!$A:$B,2,0),"")</f>
        <v/>
      </c>
      <c r="D97" s="108" t="s">
        <v>1039</v>
      </c>
      <c r="E97" s="143" t="s">
        <v>1089</v>
      </c>
      <c r="F97" s="143"/>
      <c r="G97" t="e">
        <f t="array" aca="1" ref="G97" ca="1">CLONE1LEVELLIST("Brand_clone",1,,"Mono")</f>
        <v>#VALUE!</v>
      </c>
    </row>
    <row r="98" spans="1:7" hidden="1" x14ac:dyDescent="0.3">
      <c r="A98" s="108"/>
      <c r="B98" s="108">
        <v>10</v>
      </c>
      <c r="C98" s="108" t="str">
        <f>IFERROR(VLOOKUP(B98,'Control Sheet_Custom'!$A:$B,2,0),"")</f>
        <v/>
      </c>
      <c r="D98" s="108" t="s">
        <v>1039</v>
      </c>
      <c r="E98" s="143" t="s">
        <v>1090</v>
      </c>
      <c r="F98" s="143" t="s">
        <v>1044</v>
      </c>
      <c r="G98" t="e">
        <f t="array" aca="1" ref="G98" ca="1">CLONE1LEVELLIST("Brand_clone",1,,"Mono")</f>
        <v>#VALUE!</v>
      </c>
    </row>
    <row r="99" spans="1:7" hidden="1" x14ac:dyDescent="0.3">
      <c r="A99" s="108"/>
      <c r="B99" s="108">
        <v>10</v>
      </c>
      <c r="C99" s="108" t="str">
        <f>IFERROR(VLOOKUP(B99,'Control Sheet_Custom'!$A:$B,2,0),"")</f>
        <v/>
      </c>
      <c r="D99" s="108" t="s">
        <v>1039</v>
      </c>
      <c r="E99" s="143" t="s">
        <v>1091</v>
      </c>
      <c r="F99" s="143" t="s">
        <v>1044</v>
      </c>
      <c r="G99" t="e">
        <f t="array" aca="1" ref="G99" ca="1">CLONE1LEVELLIST("Brand_clone",1,,"Mono")</f>
        <v>#VALUE!</v>
      </c>
    </row>
    <row r="100" spans="1:7" hidden="1" x14ac:dyDescent="0.3">
      <c r="A100" s="108"/>
      <c r="C100" s="108" t="str">
        <f>IFERROR(VLOOKUP(B100,'Control Sheet_Custom'!$A:$B,2,0),"")</f>
        <v/>
      </c>
      <c r="E100" s="27"/>
    </row>
    <row r="101" spans="1:7" hidden="1" x14ac:dyDescent="0.3">
      <c r="A101" s="108"/>
      <c r="B101" s="108">
        <v>11</v>
      </c>
      <c r="C101" s="108" t="str">
        <f>IFERROR(VLOOKUP(B101,'Control Sheet_Custom'!$A:$B,2,0),"")</f>
        <v/>
      </c>
      <c r="D101" s="108" t="s">
        <v>1037</v>
      </c>
      <c r="E101" s="143" t="s">
        <v>1094</v>
      </c>
      <c r="F101" s="143" t="s">
        <v>1044</v>
      </c>
      <c r="G101" t="e">
        <f t="array" aca="1" ref="G101" ca="1">CLONE1LEVELLIST("Brand_clone",1,,"Mono")</f>
        <v>#VALUE!</v>
      </c>
    </row>
    <row r="102" spans="1:7" hidden="1" x14ac:dyDescent="0.3">
      <c r="A102" s="108"/>
      <c r="B102" s="108">
        <v>11</v>
      </c>
      <c r="C102" s="108" t="str">
        <f>IFERROR(VLOOKUP(B102,'Control Sheet_Custom'!$A:$B,2,0),"")</f>
        <v/>
      </c>
      <c r="D102" s="108" t="s">
        <v>1037</v>
      </c>
      <c r="E102" s="143" t="s">
        <v>1095</v>
      </c>
      <c r="F102" s="143" t="s">
        <v>1044</v>
      </c>
      <c r="G102" t="e">
        <f t="array" aca="1" ref="G102" ca="1">CLONE1LEVELLIST("Brand_clone",1,,"Mono")</f>
        <v>#VALUE!</v>
      </c>
    </row>
    <row r="103" spans="1:7" hidden="1" x14ac:dyDescent="0.3">
      <c r="A103" s="108"/>
      <c r="B103" s="108">
        <v>11</v>
      </c>
      <c r="C103" s="108" t="str">
        <f>IFERROR(VLOOKUP(B103,'Control Sheet_Custom'!$A:$B,2,0),"")</f>
        <v/>
      </c>
      <c r="D103" s="108" t="s">
        <v>1039</v>
      </c>
      <c r="E103" s="143" t="s">
        <v>1089</v>
      </c>
      <c r="F103" s="143"/>
      <c r="G103" t="e">
        <f t="array" aca="1" ref="G103" ca="1">CLONE1LEVELLIST("Brand_clone",1,,"Mono")</f>
        <v>#VALUE!</v>
      </c>
    </row>
    <row r="104" spans="1:7" hidden="1" x14ac:dyDescent="0.3">
      <c r="A104" s="108"/>
      <c r="B104" s="108">
        <v>11</v>
      </c>
      <c r="C104" s="108" t="str">
        <f>IFERROR(VLOOKUP(B104,'Control Sheet_Custom'!$A:$B,2,0),"")</f>
        <v/>
      </c>
      <c r="D104" s="108" t="s">
        <v>1039</v>
      </c>
      <c r="E104" s="143" t="s">
        <v>1090</v>
      </c>
      <c r="F104" s="143" t="s">
        <v>1044</v>
      </c>
      <c r="G104" t="e">
        <f t="array" aca="1" ref="G104" ca="1">CLONE1LEVELLIST("Brand_clone",1,,"Mono")</f>
        <v>#VALUE!</v>
      </c>
    </row>
    <row r="105" spans="1:7" hidden="1" x14ac:dyDescent="0.3">
      <c r="A105" s="108"/>
      <c r="B105" s="108">
        <v>11</v>
      </c>
      <c r="C105" s="108" t="str">
        <f>IFERROR(VLOOKUP(B105,'Control Sheet_Custom'!$A:$B,2,0),"")</f>
        <v/>
      </c>
      <c r="D105" s="108" t="s">
        <v>1039</v>
      </c>
      <c r="E105" s="143" t="s">
        <v>1091</v>
      </c>
      <c r="F105" s="143" t="s">
        <v>1044</v>
      </c>
      <c r="G105" t="e">
        <f t="array" aca="1" ref="G105" ca="1">CLONE1LEVELLIST("Brand_clone",1,,"Mono")</f>
        <v>#VALUE!</v>
      </c>
    </row>
    <row r="106" spans="1:7" hidden="1" x14ac:dyDescent="0.3">
      <c r="A106" s="108"/>
      <c r="C106" s="108" t="str">
        <f>IFERROR(VLOOKUP(B106,'Control Sheet_Custom'!$A:$B,2,0),"")</f>
        <v/>
      </c>
      <c r="E106" s="27"/>
    </row>
    <row r="107" spans="1:7" hidden="1" x14ac:dyDescent="0.3">
      <c r="A107" s="108"/>
      <c r="B107" s="108">
        <v>12</v>
      </c>
      <c r="C107" s="108" t="str">
        <f>IFERROR(VLOOKUP(B107,'Control Sheet_Custom'!$A:$B,2,0),"")</f>
        <v/>
      </c>
      <c r="D107" s="108" t="s">
        <v>1037</v>
      </c>
      <c r="E107" s="143" t="s">
        <v>1096</v>
      </c>
      <c r="F107" s="143" t="s">
        <v>1044</v>
      </c>
      <c r="G107" t="e">
        <f t="array" aca="1" ref="G107" ca="1">CLONE1LEVELLIST("Brand_clone",1,,"Mono")</f>
        <v>#VALUE!</v>
      </c>
    </row>
    <row r="108" spans="1:7" hidden="1" x14ac:dyDescent="0.3">
      <c r="A108" s="108"/>
      <c r="B108" s="108">
        <v>12</v>
      </c>
      <c r="C108" s="108" t="str">
        <f>IFERROR(VLOOKUP(B108,'Control Sheet_Custom'!$A:$B,2,0),"")</f>
        <v/>
      </c>
      <c r="D108" s="108" t="s">
        <v>1037</v>
      </c>
      <c r="E108" s="143" t="s">
        <v>1097</v>
      </c>
      <c r="F108" s="143" t="s">
        <v>1044</v>
      </c>
      <c r="G108" t="e">
        <f t="array" aca="1" ref="G108" ca="1">CLONE1LEVELLIST("Brand_clone",1,,"Mono")</f>
        <v>#VALUE!</v>
      </c>
    </row>
    <row r="109" spans="1:7" hidden="1" x14ac:dyDescent="0.3">
      <c r="A109" s="108"/>
      <c r="B109" s="108">
        <v>12</v>
      </c>
      <c r="C109" s="108" t="str">
        <f>IFERROR(VLOOKUP(B109,'Control Sheet_Custom'!$A:$B,2,0),"")</f>
        <v/>
      </c>
      <c r="D109" s="108" t="s">
        <v>1039</v>
      </c>
      <c r="E109" s="143" t="s">
        <v>1089</v>
      </c>
      <c r="F109" s="143"/>
      <c r="G109" t="e">
        <f t="array" aca="1" ref="G109" ca="1">CLONE1LEVELLIST("Brand_clone",1,,"Mono")</f>
        <v>#VALUE!</v>
      </c>
    </row>
    <row r="110" spans="1:7" hidden="1" x14ac:dyDescent="0.3">
      <c r="A110" s="108"/>
      <c r="B110" s="108">
        <v>12</v>
      </c>
      <c r="C110" s="108" t="str">
        <f>IFERROR(VLOOKUP(B110,'Control Sheet_Custom'!$A:$B,2,0),"")</f>
        <v/>
      </c>
      <c r="D110" s="108" t="s">
        <v>1039</v>
      </c>
      <c r="E110" s="143" t="s">
        <v>1090</v>
      </c>
      <c r="F110" s="143" t="s">
        <v>1044</v>
      </c>
      <c r="G110" t="e">
        <f t="array" aca="1" ref="G110" ca="1">CLONE1LEVELLIST("Brand_clone",1,,"Mono")</f>
        <v>#VALUE!</v>
      </c>
    </row>
    <row r="111" spans="1:7" hidden="1" x14ac:dyDescent="0.3">
      <c r="A111" s="108"/>
      <c r="B111" s="108">
        <v>12</v>
      </c>
      <c r="C111" s="108" t="str">
        <f>IFERROR(VLOOKUP(B111,'Control Sheet_Custom'!$A:$B,2,0),"")</f>
        <v/>
      </c>
      <c r="D111" s="108" t="s">
        <v>1039</v>
      </c>
      <c r="E111" s="143" t="s">
        <v>1091</v>
      </c>
      <c r="F111" s="143" t="s">
        <v>1044</v>
      </c>
      <c r="G111" t="e">
        <f t="array" aca="1" ref="G111" ca="1">CLONE1LEVELLIST("Brand_clone",1,,"Mono")</f>
        <v>#VALUE!</v>
      </c>
    </row>
    <row r="112" spans="1:7" hidden="1" x14ac:dyDescent="0.3">
      <c r="A112" s="108"/>
      <c r="C112" s="108" t="str">
        <f>IFERROR(VLOOKUP(B112,'Control Sheet_Custom'!$A:$B,2,0),"")</f>
        <v/>
      </c>
      <c r="E112" s="27"/>
    </row>
    <row r="113" spans="1:12" hidden="1" x14ac:dyDescent="0.3">
      <c r="A113" s="108"/>
      <c r="B113" s="108">
        <v>13</v>
      </c>
      <c r="C113" s="108" t="str">
        <f>IFERROR(VLOOKUP(B113,'Control Sheet_Custom'!$A:$B,2,0),"")</f>
        <v/>
      </c>
      <c r="D113" s="108" t="s">
        <v>1037</v>
      </c>
      <c r="E113" s="143" t="s">
        <v>1098</v>
      </c>
      <c r="F113" s="143" t="s">
        <v>1044</v>
      </c>
      <c r="G113" t="e">
        <f t="array" aca="1" ref="G113" ca="1">CLONE1LEVELLIST("Brand_clone",1,,"Mono")</f>
        <v>#VALUE!</v>
      </c>
    </row>
    <row r="114" spans="1:12" hidden="1" x14ac:dyDescent="0.3">
      <c r="A114" s="108"/>
      <c r="B114" s="108">
        <v>13</v>
      </c>
      <c r="C114" s="108" t="str">
        <f>IFERROR(VLOOKUP(B114,'Control Sheet_Custom'!$A:$B,2,0),"")</f>
        <v/>
      </c>
      <c r="D114" s="108" t="s">
        <v>1037</v>
      </c>
      <c r="E114" s="143" t="s">
        <v>1099</v>
      </c>
      <c r="F114" s="143" t="s">
        <v>1044</v>
      </c>
      <c r="G114" t="e">
        <f t="array" aca="1" ref="G114" ca="1">CLONE1LEVELLIST("Brand_clone",1,,"Mono")</f>
        <v>#VALUE!</v>
      </c>
    </row>
    <row r="115" spans="1:12" hidden="1" x14ac:dyDescent="0.3">
      <c r="A115" s="108"/>
      <c r="B115" s="108">
        <v>13</v>
      </c>
      <c r="C115" s="108" t="str">
        <f>IFERROR(VLOOKUP(B115,'Control Sheet_Custom'!$A:$B,2,0),"")</f>
        <v/>
      </c>
      <c r="D115" s="108" t="s">
        <v>1037</v>
      </c>
      <c r="E115" s="143" t="s">
        <v>1100</v>
      </c>
      <c r="F115" s="143" t="s">
        <v>1044</v>
      </c>
      <c r="G115" t="e">
        <f t="array" aca="1" ref="G115" ca="1">CLONE1LEVELLIST("Brand_clone",1,,"Mono")</f>
        <v>#VALUE!</v>
      </c>
    </row>
    <row r="116" spans="1:12" hidden="1" x14ac:dyDescent="0.3">
      <c r="A116" s="108"/>
      <c r="B116" s="108">
        <v>13</v>
      </c>
      <c r="C116" s="108" t="str">
        <f>IFERROR(VLOOKUP(B116,'Control Sheet_Custom'!$A:$B,2,0),"")</f>
        <v/>
      </c>
      <c r="D116" s="108" t="s">
        <v>1037</v>
      </c>
      <c r="E116" s="143" t="s">
        <v>1101</v>
      </c>
      <c r="F116" s="143" t="s">
        <v>1044</v>
      </c>
      <c r="G116" t="e">
        <f t="array" aca="1" ref="G116" ca="1">CLONE1LEVELLIST("Brand_clone",1,,"Mono")</f>
        <v>#VALUE!</v>
      </c>
    </row>
    <row r="117" spans="1:12" hidden="1" x14ac:dyDescent="0.3">
      <c r="A117" s="108"/>
      <c r="B117" s="108">
        <v>13</v>
      </c>
      <c r="C117" s="108" t="str">
        <f>IFERROR(VLOOKUP(B117,'Control Sheet_Custom'!$A:$B,2,0),"")</f>
        <v/>
      </c>
      <c r="D117" s="108" t="s">
        <v>1037</v>
      </c>
      <c r="E117" s="143" t="s">
        <v>1102</v>
      </c>
      <c r="F117" s="143" t="s">
        <v>1044</v>
      </c>
      <c r="G117" t="e">
        <f t="array" aca="1" ref="G117" ca="1">CLONE1LEVELLIST("Brand_clone",1,,"Mono")</f>
        <v>#VALUE!</v>
      </c>
    </row>
    <row r="118" spans="1:12" hidden="1" x14ac:dyDescent="0.3">
      <c r="A118" s="108"/>
      <c r="B118" s="108">
        <v>13</v>
      </c>
      <c r="C118" s="108" t="str">
        <f>IFERROR(VLOOKUP(B118,'Control Sheet_Custom'!$A:$B,2,0),"")</f>
        <v/>
      </c>
      <c r="D118" s="108" t="s">
        <v>1039</v>
      </c>
      <c r="E118" s="143" t="s">
        <v>1089</v>
      </c>
      <c r="F118" s="143"/>
      <c r="G118" t="e">
        <f t="array" aca="1" ref="G118" ca="1">CLONE1LEVELLIST("Brand_clone",1,,"Mono")</f>
        <v>#VALUE!</v>
      </c>
    </row>
    <row r="119" spans="1:12" hidden="1" x14ac:dyDescent="0.3">
      <c r="A119" s="108"/>
      <c r="B119" s="108">
        <v>13</v>
      </c>
      <c r="C119" s="108" t="str">
        <f>IFERROR(VLOOKUP(B119,'Control Sheet_Custom'!$A:$B,2,0),"")</f>
        <v/>
      </c>
      <c r="D119" s="108" t="s">
        <v>1039</v>
      </c>
      <c r="E119" s="143" t="s">
        <v>1090</v>
      </c>
      <c r="F119" s="143" t="s">
        <v>1044</v>
      </c>
      <c r="G119" t="e">
        <f t="array" aca="1" ref="G119" ca="1">CLONE1LEVELLIST("Brand_clone",1,,"Mono")</f>
        <v>#VALUE!</v>
      </c>
    </row>
    <row r="120" spans="1:12" hidden="1" x14ac:dyDescent="0.3">
      <c r="A120" s="108"/>
      <c r="B120" s="108">
        <v>13</v>
      </c>
      <c r="C120" s="108" t="str">
        <f>IFERROR(VLOOKUP(B120,'Control Sheet_Custom'!$A:$B,2,0),"")</f>
        <v/>
      </c>
      <c r="D120" s="108" t="s">
        <v>1039</v>
      </c>
      <c r="E120" s="143" t="s">
        <v>1091</v>
      </c>
      <c r="F120" s="143" t="s">
        <v>1044</v>
      </c>
      <c r="G120" t="e">
        <f t="array" aca="1" ref="G120" ca="1">CLONE1LEVELLIST("Brand_clone",1,,"Mono")</f>
        <v>#VALUE!</v>
      </c>
    </row>
    <row r="121" spans="1:12" hidden="1" x14ac:dyDescent="0.3">
      <c r="A121" s="108"/>
      <c r="C121" s="108" t="str">
        <f>IFERROR(VLOOKUP(B121,'Control Sheet_Custom'!$A:$B,2,0),"")</f>
        <v/>
      </c>
      <c r="E121" s="27"/>
    </row>
    <row r="122" spans="1:12" hidden="1" x14ac:dyDescent="0.3">
      <c r="A122" s="108"/>
      <c r="B122" s="108">
        <v>14</v>
      </c>
      <c r="C122" s="108" t="str">
        <f>IFERROR(VLOOKUP(B122,'Control Sheet_Custom'!$A:$B,2,0),"")</f>
        <v/>
      </c>
      <c r="D122" s="108" t="s">
        <v>1037</v>
      </c>
      <c r="E122" s="143" t="s">
        <v>622</v>
      </c>
      <c r="F122" s="143" t="s">
        <v>1044</v>
      </c>
      <c r="G122" t="e">
        <f t="array" aca="1" ref="G122" ca="1">CLONE1LEVELLIST("Brand_clone",1,,"Mono")</f>
        <v>#VALUE!</v>
      </c>
    </row>
    <row r="123" spans="1:12" hidden="1" x14ac:dyDescent="0.3">
      <c r="A123" s="108"/>
      <c r="B123" s="108">
        <v>14</v>
      </c>
      <c r="C123" s="108" t="str">
        <f>IFERROR(VLOOKUP(B123,'Control Sheet_Custom'!$A:$B,2,0),"")</f>
        <v/>
      </c>
      <c r="D123" s="108" t="s">
        <v>1037</v>
      </c>
      <c r="E123" s="143" t="s">
        <v>1103</v>
      </c>
      <c r="F123" s="143" t="s">
        <v>1044</v>
      </c>
      <c r="G123" t="e">
        <f t="array" aca="1" ref="G123" ca="1">CLONE1LEVELLIST("Brand_clone",1,,"Mono")</f>
        <v>#VALUE!</v>
      </c>
    </row>
    <row r="124" spans="1:12" hidden="1" x14ac:dyDescent="0.3">
      <c r="A124" s="108"/>
      <c r="B124" s="108">
        <v>14</v>
      </c>
      <c r="C124" s="108" t="str">
        <f>IFERROR(VLOOKUP(B124,'Control Sheet_Custom'!$A:$B,2,0),"")</f>
        <v/>
      </c>
      <c r="D124" s="108" t="s">
        <v>1037</v>
      </c>
      <c r="E124" s="143" t="s">
        <v>1104</v>
      </c>
      <c r="F124" s="143" t="s">
        <v>1044</v>
      </c>
      <c r="G124" t="e">
        <f t="array" aca="1" ref="G124" ca="1">CLONE1LEVELLIST("Brand_clone",1,,"Mono")</f>
        <v>#VALUE!</v>
      </c>
    </row>
    <row r="125" spans="1:12" hidden="1" x14ac:dyDescent="0.3">
      <c r="A125" s="108"/>
      <c r="B125" s="108">
        <v>14</v>
      </c>
      <c r="C125" s="108" t="str">
        <f>IFERROR(VLOOKUP(B125,'Control Sheet_Custom'!$A:$B,2,0),"")</f>
        <v/>
      </c>
      <c r="D125" s="108" t="s">
        <v>1037</v>
      </c>
      <c r="E125" s="143" t="s">
        <v>1105</v>
      </c>
      <c r="F125" s="143" t="s">
        <v>1044</v>
      </c>
      <c r="G125" t="e">
        <f t="array" aca="1" ref="G125" ca="1">CLONE1LEVELLIST("Brand_clone",1,,"Mono")</f>
        <v>#VALUE!</v>
      </c>
    </row>
    <row r="126" spans="1:12" hidden="1" x14ac:dyDescent="0.3">
      <c r="A126" s="108"/>
      <c r="B126" s="108">
        <v>14</v>
      </c>
      <c r="C126" s="108" t="str">
        <f>IFERROR(VLOOKUP(B126,'Control Sheet_Custom'!$A:$B,2,0),"")</f>
        <v/>
      </c>
      <c r="D126" s="108" t="s">
        <v>1039</v>
      </c>
      <c r="E126" s="143" t="s">
        <v>1089</v>
      </c>
      <c r="F126" s="143"/>
      <c r="G126" t="e">
        <f t="array" aca="1" ref="G126" ca="1">CLONE1LEVELLIST("Brand_clone",1,,"Mono")</f>
        <v>#VALUE!</v>
      </c>
    </row>
    <row r="127" spans="1:12" x14ac:dyDescent="0.3">
      <c r="A127" s="108"/>
      <c r="B127" s="108">
        <v>3</v>
      </c>
      <c r="C127" s="108">
        <f>IFERROR(VLOOKUP(B127,'Control Sheet_Custom'!$A:$B,2,0),"")</f>
        <v>1637157055</v>
      </c>
      <c r="D127" s="108" t="s">
        <v>1039</v>
      </c>
      <c r="E127" s="159" t="s">
        <v>812</v>
      </c>
      <c r="F127" s="108" t="s">
        <v>1397</v>
      </c>
      <c r="G127" t="str" cm="1">
        <f t="array" aca="1" ref="G127" ca="1">CLONE1LEVELLIST("Respondent_Id",1,,"Mono")</f>
        <v>6509e475d013746050533997;6509e475d013746050533998;6509e475d013746050533999;6509e475d01374605053399a;6509e475d01374605053399b;6509e475d01374605053399c;6509e475d01374605053399d;6509e475d01374605053399e;650a0a1c04410260675a47d1;650a0a1c04410260675a47d2;650a0a1c04410260675a47d3;650a0a1c04410260675a47d4;650a0a1c04410260675a47d5;650a0a1c04410260675a47d6;650a0a1c04410260675a47d7;650a0a1c04410260675a47d8;650a0a1c04410260675a47d9;650b557559a24b71a22ff679;650b557559a24b71a22ff67a;650b557559a24b71a22ff67b;650b557559a24b71a22ff67c;650b557559a24b71a22ff67d;650b557559a24b71a22ff67e;650b557559a24b71a22ff67f;650b557559a24b71a22ff680;650b557559a24b71a22ff681;650b557559a24b71a22ff682;650b557559a24b71a22ff683;6511b54c228003470ddb41ed;6511b54c228003470ddb41ee;6511b54c228003470ddb41ef;6511b54c228003470ddb41f0;6511b54c228003470ddb41f1;6511b54c228003470ddb41f2;651338314c8a6370bc3733cc;651338314c8a6370bc3733cd;651338314c8a6370bc3733ce;651338314c8a6370bc3733cf;651338314c8a6370bc3733d0;651338314c8a6370bc3733d1;651338314c8a6370bc3733d2;6514acb28b76b60a127a6468;6514acb28b76b60a127a6469;6514acb28b76b60a127a646a;6514acb28b76b60a127a646b;6514acb28b76b60a127a646c;6514acb28b76b60a127a646d;6514acb28b76b60a127a646e;6514acb28b76b60a127a646f;6515b97ad4652873ebe6f7cd;6515b97ad4652873ebe6f7ce;6515b97ad4652873ebe6f7cf;6515b97ad4652873ebe6f7d0;6515b97ad4652873ebe6f7d1</v>
      </c>
      <c r="L127" s="142"/>
    </row>
    <row r="128" spans="1:12" x14ac:dyDescent="0.3">
      <c r="A128" s="108"/>
      <c r="B128" s="108">
        <v>3</v>
      </c>
      <c r="C128" s="108">
        <f>IFERROR(VLOOKUP(B128,'Control Sheet_Custom'!$A:$B,2,0),"")</f>
        <v>1637157055</v>
      </c>
      <c r="D128" s="108" t="s">
        <v>1039</v>
      </c>
      <c r="E128" s="116" t="s">
        <v>816</v>
      </c>
      <c r="F128" s="108" t="s">
        <v>1397</v>
      </c>
      <c r="G128" t="str" cm="1">
        <f t="array" aca="1" ref="G128" ca="1">CLONE1LEVELLIST("Respondent_Id",1,,"Mono")</f>
        <v>6509e475d013746050533997;6509e475d013746050533998;6509e475d013746050533999;6509e475d01374605053399a;6509e475d01374605053399b;6509e475d01374605053399c;6509e475d01374605053399d;6509e475d01374605053399e;650a0a1c04410260675a47d1;650a0a1c04410260675a47d2;650a0a1c04410260675a47d3;650a0a1c04410260675a47d4;650a0a1c04410260675a47d5;650a0a1c04410260675a47d6;650a0a1c04410260675a47d7;650a0a1c04410260675a47d8;650a0a1c04410260675a47d9;650b557559a24b71a22ff679;650b557559a24b71a22ff67a;650b557559a24b71a22ff67b;650b557559a24b71a22ff67c;650b557559a24b71a22ff67d;650b557559a24b71a22ff67e;650b557559a24b71a22ff67f;650b557559a24b71a22ff680;650b557559a24b71a22ff681;650b557559a24b71a22ff682;650b557559a24b71a22ff683;6511b54c228003470ddb41ed;6511b54c228003470ddb41ee;6511b54c228003470ddb41ef;6511b54c228003470ddb41f0;6511b54c228003470ddb41f1;6511b54c228003470ddb41f2;651338314c8a6370bc3733cc;651338314c8a6370bc3733cd;651338314c8a6370bc3733ce;651338314c8a6370bc3733cf;651338314c8a6370bc3733d0;651338314c8a6370bc3733d1;651338314c8a6370bc3733d2;6514acb28b76b60a127a6468;6514acb28b76b60a127a6469;6514acb28b76b60a127a646a;6514acb28b76b60a127a646b;6514acb28b76b60a127a646c;6514acb28b76b60a127a646d;6514acb28b76b60a127a646e;6514acb28b76b60a127a646f;6515b97ad4652873ebe6f7cd;6515b97ad4652873ebe6f7ce;6515b97ad4652873ebe6f7cf;6515b97ad4652873ebe6f7d0;6515b97ad4652873ebe6f7d1</v>
      </c>
    </row>
    <row r="129" spans="1:12" x14ac:dyDescent="0.3">
      <c r="A129" s="108"/>
      <c r="B129" s="108">
        <v>3</v>
      </c>
      <c r="C129" s="108">
        <f>IFERROR(VLOOKUP(B129,'Control Sheet_Custom'!$A:$B,2,0),"")</f>
        <v>1637157055</v>
      </c>
      <c r="D129" s="108" t="s">
        <v>1039</v>
      </c>
      <c r="E129" s="116" t="s">
        <v>820</v>
      </c>
      <c r="F129" s="108" t="s">
        <v>1397</v>
      </c>
      <c r="G129" t="str" cm="1">
        <f t="array" aca="1" ref="G129" ca="1">CLONE1LEVELLIST("Respondent_Id",1,,"Mono")</f>
        <v>6509e475d013746050533997;6509e475d013746050533998;6509e475d013746050533999;6509e475d01374605053399a;6509e475d01374605053399b;6509e475d01374605053399c;6509e475d01374605053399d;6509e475d01374605053399e;650a0a1c04410260675a47d1;650a0a1c04410260675a47d2;650a0a1c04410260675a47d3;650a0a1c04410260675a47d4;650a0a1c04410260675a47d5;650a0a1c04410260675a47d6;650a0a1c04410260675a47d7;650a0a1c04410260675a47d8;650a0a1c04410260675a47d9;650b557559a24b71a22ff679;650b557559a24b71a22ff67a;650b557559a24b71a22ff67b;650b557559a24b71a22ff67c;650b557559a24b71a22ff67d;650b557559a24b71a22ff67e;650b557559a24b71a22ff67f;650b557559a24b71a22ff680;650b557559a24b71a22ff681;650b557559a24b71a22ff682;650b557559a24b71a22ff683;6511b54c228003470ddb41ed;6511b54c228003470ddb41ee;6511b54c228003470ddb41ef;6511b54c228003470ddb41f0;6511b54c228003470ddb41f1;6511b54c228003470ddb41f2;651338314c8a6370bc3733cc;651338314c8a6370bc3733cd;651338314c8a6370bc3733ce;651338314c8a6370bc3733cf;651338314c8a6370bc3733d0;651338314c8a6370bc3733d1;651338314c8a6370bc3733d2;6514acb28b76b60a127a6468;6514acb28b76b60a127a6469;6514acb28b76b60a127a646a;6514acb28b76b60a127a646b;6514acb28b76b60a127a646c;6514acb28b76b60a127a646d;6514acb28b76b60a127a646e;6514acb28b76b60a127a646f;6515b97ad4652873ebe6f7cd;6515b97ad4652873ebe6f7ce;6515b97ad4652873ebe6f7cf;6515b97ad4652873ebe6f7d0;6515b97ad4652873ebe6f7d1</v>
      </c>
    </row>
    <row r="130" spans="1:12" x14ac:dyDescent="0.3">
      <c r="A130" s="108"/>
      <c r="B130" s="108">
        <v>3</v>
      </c>
      <c r="C130" s="108">
        <f>IFERROR(VLOOKUP(B130,'Control Sheet_Custom'!$A:$B,2,0),"")</f>
        <v>1637157055</v>
      </c>
      <c r="D130" s="108" t="s">
        <v>1039</v>
      </c>
      <c r="E130" s="116" t="s">
        <v>822</v>
      </c>
      <c r="F130" s="108" t="s">
        <v>1397</v>
      </c>
      <c r="G130" t="str" cm="1">
        <f t="array" aca="1" ref="G130" ca="1">CLONE1LEVELLIST("Respondent_Id",1,,"Mono")</f>
        <v>6509e475d013746050533997;6509e475d013746050533998;6509e475d013746050533999;6509e475d01374605053399a;6509e475d01374605053399b;6509e475d01374605053399c;6509e475d01374605053399d;6509e475d01374605053399e;650a0a1c04410260675a47d1;650a0a1c04410260675a47d2;650a0a1c04410260675a47d3;650a0a1c04410260675a47d4;650a0a1c04410260675a47d5;650a0a1c04410260675a47d6;650a0a1c04410260675a47d7;650a0a1c04410260675a47d8;650a0a1c04410260675a47d9;650b557559a24b71a22ff679;650b557559a24b71a22ff67a;650b557559a24b71a22ff67b;650b557559a24b71a22ff67c;650b557559a24b71a22ff67d;650b557559a24b71a22ff67e;650b557559a24b71a22ff67f;650b557559a24b71a22ff680;650b557559a24b71a22ff681;650b557559a24b71a22ff682;650b557559a24b71a22ff683;6511b54c228003470ddb41ed;6511b54c228003470ddb41ee;6511b54c228003470ddb41ef;6511b54c228003470ddb41f0;6511b54c228003470ddb41f1;6511b54c228003470ddb41f2;651338314c8a6370bc3733cc;651338314c8a6370bc3733cd;651338314c8a6370bc3733ce;651338314c8a6370bc3733cf;651338314c8a6370bc3733d0;651338314c8a6370bc3733d1;651338314c8a6370bc3733d2;6514acb28b76b60a127a6468;6514acb28b76b60a127a6469;6514acb28b76b60a127a646a;6514acb28b76b60a127a646b;6514acb28b76b60a127a646c;6514acb28b76b60a127a646d;6514acb28b76b60a127a646e;6514acb28b76b60a127a646f;6515b97ad4652873ebe6f7cd;6515b97ad4652873ebe6f7ce;6515b97ad4652873ebe6f7cf;6515b97ad4652873ebe6f7d0;6515b97ad4652873ebe6f7d1</v>
      </c>
    </row>
    <row r="131" spans="1:12" x14ac:dyDescent="0.3">
      <c r="A131" s="108"/>
      <c r="B131" s="108">
        <v>3</v>
      </c>
      <c r="C131" s="108">
        <f>IFERROR(VLOOKUP(B131,'Control Sheet_Custom'!$A:$B,2,0),"")</f>
        <v>1637157055</v>
      </c>
      <c r="D131" s="108" t="s">
        <v>1039</v>
      </c>
      <c r="E131" s="116" t="s">
        <v>824</v>
      </c>
      <c r="F131" s="108" t="s">
        <v>1397</v>
      </c>
      <c r="G131" t="str" cm="1">
        <f t="array" aca="1" ref="G131" ca="1">CLONE1LEVELLIST("Respondent_Id",1,,"Mono")</f>
        <v>6509e475d013746050533997;6509e475d013746050533998;6509e475d013746050533999;6509e475d01374605053399a;6509e475d01374605053399b;6509e475d01374605053399c;6509e475d01374605053399d;6509e475d01374605053399e;650a0a1c04410260675a47d1;650a0a1c04410260675a47d2;650a0a1c04410260675a47d3;650a0a1c04410260675a47d4;650a0a1c04410260675a47d5;650a0a1c04410260675a47d6;650a0a1c04410260675a47d7;650a0a1c04410260675a47d8;650a0a1c04410260675a47d9;650b557559a24b71a22ff679;650b557559a24b71a22ff67a;650b557559a24b71a22ff67b;650b557559a24b71a22ff67c;650b557559a24b71a22ff67d;650b557559a24b71a22ff67e;650b557559a24b71a22ff67f;650b557559a24b71a22ff680;650b557559a24b71a22ff681;650b557559a24b71a22ff682;650b557559a24b71a22ff683;6511b54c228003470ddb41ed;6511b54c228003470ddb41ee;6511b54c228003470ddb41ef;6511b54c228003470ddb41f0;6511b54c228003470ddb41f1;6511b54c228003470ddb41f2;651338314c8a6370bc3733cc;651338314c8a6370bc3733cd;651338314c8a6370bc3733ce;651338314c8a6370bc3733cf;651338314c8a6370bc3733d0;651338314c8a6370bc3733d1;651338314c8a6370bc3733d2;6514acb28b76b60a127a6468;6514acb28b76b60a127a6469;6514acb28b76b60a127a646a;6514acb28b76b60a127a646b;6514acb28b76b60a127a646c;6514acb28b76b60a127a646d;6514acb28b76b60a127a646e;6514acb28b76b60a127a646f;6515b97ad4652873ebe6f7cd;6515b97ad4652873ebe6f7ce;6515b97ad4652873ebe6f7cf;6515b97ad4652873ebe6f7d0;6515b97ad4652873ebe6f7d1</v>
      </c>
    </row>
    <row r="132" spans="1:12" x14ac:dyDescent="0.3">
      <c r="A132" s="108"/>
      <c r="B132" s="108">
        <v>3</v>
      </c>
      <c r="C132" s="108">
        <f>IFERROR(VLOOKUP(B132,'Control Sheet_Custom'!$A:$B,2,0),"")</f>
        <v>1637157055</v>
      </c>
      <c r="D132" s="108" t="s">
        <v>1039</v>
      </c>
      <c r="E132" s="116" t="s">
        <v>826</v>
      </c>
      <c r="F132" s="108" t="s">
        <v>1397</v>
      </c>
      <c r="G132" t="str" cm="1">
        <f t="array" aca="1" ref="G132" ca="1">CLONE1LEVELLIST("Respondent_Id",1,,"Mono")</f>
        <v>6509e475d013746050533997;6509e475d013746050533998;6509e475d013746050533999;6509e475d01374605053399a;6509e475d01374605053399b;6509e475d01374605053399c;6509e475d01374605053399d;6509e475d01374605053399e;650a0a1c04410260675a47d1;650a0a1c04410260675a47d2;650a0a1c04410260675a47d3;650a0a1c04410260675a47d4;650a0a1c04410260675a47d5;650a0a1c04410260675a47d6;650a0a1c04410260675a47d7;650a0a1c04410260675a47d8;650a0a1c04410260675a47d9;650b557559a24b71a22ff679;650b557559a24b71a22ff67a;650b557559a24b71a22ff67b;650b557559a24b71a22ff67c;650b557559a24b71a22ff67d;650b557559a24b71a22ff67e;650b557559a24b71a22ff67f;650b557559a24b71a22ff680;650b557559a24b71a22ff681;650b557559a24b71a22ff682;650b557559a24b71a22ff683;6511b54c228003470ddb41ed;6511b54c228003470ddb41ee;6511b54c228003470ddb41ef;6511b54c228003470ddb41f0;6511b54c228003470ddb41f1;6511b54c228003470ddb41f2;651338314c8a6370bc3733cc;651338314c8a6370bc3733cd;651338314c8a6370bc3733ce;651338314c8a6370bc3733cf;651338314c8a6370bc3733d0;651338314c8a6370bc3733d1;651338314c8a6370bc3733d2;6514acb28b76b60a127a6468;6514acb28b76b60a127a6469;6514acb28b76b60a127a646a;6514acb28b76b60a127a646b;6514acb28b76b60a127a646c;6514acb28b76b60a127a646d;6514acb28b76b60a127a646e;6514acb28b76b60a127a646f;6515b97ad4652873ebe6f7cd;6515b97ad4652873ebe6f7ce;6515b97ad4652873ebe6f7cf;6515b97ad4652873ebe6f7d0;6515b97ad4652873ebe6f7d1</v>
      </c>
    </row>
    <row r="133" spans="1:12" x14ac:dyDescent="0.3">
      <c r="A133" s="108"/>
      <c r="B133" s="180">
        <v>3</v>
      </c>
      <c r="C133" s="108">
        <f>IFERROR(VLOOKUP(B133,'Control Sheet_Custom'!$A:$B,2,0),"")</f>
        <v>1637157055</v>
      </c>
      <c r="E133" s="116" t="s">
        <v>828</v>
      </c>
    </row>
    <row r="134" spans="1:12" x14ac:dyDescent="0.3">
      <c r="A134" s="108"/>
      <c r="B134" s="108"/>
      <c r="C134" s="108"/>
      <c r="D134" s="108"/>
      <c r="E134" s="154"/>
      <c r="F134" s="108"/>
    </row>
    <row r="135" spans="1:12" x14ac:dyDescent="0.3">
      <c r="A135" s="108"/>
      <c r="B135" s="108"/>
      <c r="C135" s="108"/>
      <c r="D135" s="108"/>
      <c r="E135" s="154"/>
      <c r="F135" s="108"/>
    </row>
    <row r="136" spans="1:12" x14ac:dyDescent="0.3">
      <c r="A136" s="108"/>
      <c r="B136" s="108"/>
      <c r="C136" s="108"/>
      <c r="D136" s="108"/>
      <c r="E136" s="154"/>
      <c r="F136" s="108"/>
    </row>
    <row r="137" spans="1:12" x14ac:dyDescent="0.3">
      <c r="A137" s="108"/>
      <c r="B137" s="108"/>
      <c r="C137" s="108"/>
      <c r="D137" s="108"/>
      <c r="E137" s="154"/>
      <c r="F137" s="108"/>
    </row>
    <row r="138" spans="1:12" x14ac:dyDescent="0.3">
      <c r="A138" s="108"/>
      <c r="B138" s="108"/>
      <c r="C138" s="108"/>
      <c r="D138" s="108"/>
      <c r="E138" s="154"/>
      <c r="F138" s="108"/>
    </row>
    <row r="139" spans="1:12" x14ac:dyDescent="0.3">
      <c r="A139" s="108"/>
      <c r="B139" s="108"/>
      <c r="C139" s="108"/>
      <c r="D139" s="108"/>
      <c r="E139" s="154"/>
      <c r="F139" s="108"/>
    </row>
    <row r="140" spans="1:12" x14ac:dyDescent="0.3">
      <c r="A140" s="108"/>
      <c r="B140" s="108"/>
      <c r="C140" s="108"/>
      <c r="D140" s="108"/>
      <c r="E140" s="154"/>
      <c r="F140" s="108"/>
    </row>
    <row r="141" spans="1:12" x14ac:dyDescent="0.3">
      <c r="A141" s="108"/>
      <c r="B141" s="108"/>
      <c r="C141" s="108"/>
      <c r="D141" s="108"/>
      <c r="E141" s="154"/>
      <c r="F141" s="108"/>
    </row>
    <row r="142" spans="1:12" x14ac:dyDescent="0.3">
      <c r="A142" s="108"/>
      <c r="B142" s="108"/>
      <c r="C142" s="108"/>
      <c r="D142" s="108"/>
      <c r="E142" s="159"/>
      <c r="F142" s="108"/>
      <c r="L142" s="142"/>
    </row>
    <row r="143" spans="1:12" x14ac:dyDescent="0.3">
      <c r="A143" s="108"/>
      <c r="B143" s="108"/>
      <c r="C143" s="108"/>
      <c r="D143" s="108"/>
      <c r="E143" s="159"/>
      <c r="F143" s="108"/>
    </row>
    <row r="144" spans="1:12" x14ac:dyDescent="0.3">
      <c r="A144" s="108"/>
      <c r="B144" s="108"/>
      <c r="C144" s="108"/>
      <c r="D144" s="108"/>
      <c r="E144" s="159"/>
      <c r="F144" s="108"/>
    </row>
    <row r="145" spans="1:12" x14ac:dyDescent="0.3">
      <c r="A145" s="108"/>
      <c r="B145" s="108"/>
      <c r="C145" s="108"/>
      <c r="D145" s="108"/>
      <c r="E145" s="159"/>
      <c r="F145" s="108"/>
    </row>
    <row r="147" spans="1:12" x14ac:dyDescent="0.3">
      <c r="A147" s="108"/>
      <c r="B147" s="108">
        <v>13</v>
      </c>
      <c r="C147" s="108" t="str">
        <f>IFERROR(VLOOKUP(B147,'Control Sheet_Custom'!$A:$B,2,0),"")</f>
        <v/>
      </c>
      <c r="D147" s="108" t="s">
        <v>1106</v>
      </c>
      <c r="E147" s="154" t="s">
        <v>792</v>
      </c>
      <c r="F147" s="108" t="s">
        <v>639</v>
      </c>
      <c r="G147" t="e">
        <f t="array" aca="1" ref="G147" ca="1">Comma_sep_lst("Brand_list",7)</f>
        <v>#VALUE!</v>
      </c>
    </row>
    <row r="148" spans="1:12" x14ac:dyDescent="0.3">
      <c r="A148" s="108"/>
      <c r="B148" s="108">
        <v>13</v>
      </c>
      <c r="C148" s="108" t="str">
        <f>IFERROR(VLOOKUP(B148,'Control Sheet_Custom'!$A:$B,2,0),"")</f>
        <v/>
      </c>
      <c r="D148" s="108" t="s">
        <v>1039</v>
      </c>
      <c r="E148" s="159" t="s">
        <v>829</v>
      </c>
      <c r="F148" s="108"/>
      <c r="G148" t="s">
        <v>1107</v>
      </c>
      <c r="L148" s="142"/>
    </row>
    <row r="149" spans="1:12" x14ac:dyDescent="0.3">
      <c r="A149" s="108"/>
      <c r="B149" s="108">
        <v>13</v>
      </c>
      <c r="C149" s="108" t="str">
        <f>IFERROR(VLOOKUP(B149,'Control Sheet_Custom'!$A:$B,2,0),"")</f>
        <v/>
      </c>
      <c r="D149" s="108" t="s">
        <v>1039</v>
      </c>
      <c r="E149" s="159" t="s">
        <v>831</v>
      </c>
      <c r="F149" s="108"/>
      <c r="G149" t="s">
        <v>1108</v>
      </c>
    </row>
    <row r="150" spans="1:12" x14ac:dyDescent="0.3">
      <c r="A150" s="108"/>
      <c r="B150" s="108">
        <v>13</v>
      </c>
      <c r="C150" s="108" t="str">
        <f>IFERROR(VLOOKUP(B150,'Control Sheet_Custom'!$A:$B,2,0),"")</f>
        <v/>
      </c>
      <c r="D150" s="108" t="s">
        <v>1039</v>
      </c>
      <c r="E150" s="159" t="s">
        <v>832</v>
      </c>
      <c r="F150" s="108"/>
      <c r="G150" t="s">
        <v>1109</v>
      </c>
    </row>
    <row r="151" spans="1:12" x14ac:dyDescent="0.3">
      <c r="A151" s="108"/>
      <c r="B151" s="108">
        <v>13</v>
      </c>
      <c r="C151" s="108" t="str">
        <f>IFERROR(VLOOKUP(B151,'Control Sheet_Custom'!$A:$B,2,0),"")</f>
        <v/>
      </c>
      <c r="D151" s="108" t="s">
        <v>1039</v>
      </c>
      <c r="E151" s="159" t="s">
        <v>833</v>
      </c>
      <c r="F151" s="108"/>
      <c r="G151" t="s">
        <v>1110</v>
      </c>
    </row>
    <row r="152" spans="1:12" x14ac:dyDescent="0.3">
      <c r="A152" s="108"/>
      <c r="B152" s="108">
        <v>13</v>
      </c>
      <c r="C152" s="108" t="str">
        <f>IFERROR(VLOOKUP(B152,'Control Sheet_Custom'!$A:$B,2,0),"")</f>
        <v/>
      </c>
      <c r="D152" s="108" t="s">
        <v>1039</v>
      </c>
      <c r="E152" s="159" t="s">
        <v>834</v>
      </c>
      <c r="F152" s="108"/>
      <c r="G152" t="s">
        <v>1111</v>
      </c>
    </row>
    <row r="153" spans="1:12" x14ac:dyDescent="0.3">
      <c r="A153" s="108"/>
      <c r="B153" s="108">
        <v>13</v>
      </c>
      <c r="C153" s="108" t="str">
        <f>IFERROR(VLOOKUP(B153,'Control Sheet_Custom'!$A:$B,2,0),"")</f>
        <v/>
      </c>
      <c r="D153" s="108" t="s">
        <v>1039</v>
      </c>
      <c r="E153" s="159" t="s">
        <v>835</v>
      </c>
      <c r="F153" s="108"/>
      <c r="G153" t="s">
        <v>1112</v>
      </c>
    </row>
    <row r="155" spans="1:12" x14ac:dyDescent="0.3">
      <c r="A155" s="108"/>
      <c r="B155" s="108">
        <v>18</v>
      </c>
      <c r="C155" s="108" t="str">
        <f>IFERROR(VLOOKUP(B155,'Control Sheet_Custom'!$A:$B,2,0),"")</f>
        <v/>
      </c>
      <c r="D155" s="108" t="s">
        <v>1037</v>
      </c>
      <c r="E155" s="154" t="s">
        <v>637</v>
      </c>
      <c r="F155" s="108" t="s">
        <v>639</v>
      </c>
      <c r="G155" t="e">
        <f t="array" aca="1" ref="G155" ca="1">CLONE1LEVELLIST("Client_brand_list",6,,"PENTAGON")</f>
        <v>#VALUE!</v>
      </c>
    </row>
    <row r="156" spans="1:12" x14ac:dyDescent="0.3">
      <c r="A156" s="108"/>
      <c r="B156" s="108">
        <v>18</v>
      </c>
      <c r="C156" s="108" t="str">
        <f>IFERROR(VLOOKUP(B156,'Control Sheet_Custom'!$A:$B,2,0),"")</f>
        <v/>
      </c>
      <c r="D156" s="108" t="s">
        <v>1037</v>
      </c>
      <c r="E156" s="154" t="s">
        <v>646</v>
      </c>
      <c r="F156" s="108" t="s">
        <v>639</v>
      </c>
      <c r="G156" t="e">
        <f t="array" aca="1" ref="G156" ca="1">CLONE1LEVELLIST("Client_brand_list",7,,"PENTAGON")</f>
        <v>#VALUE!</v>
      </c>
    </row>
    <row r="157" spans="1:12" x14ac:dyDescent="0.3">
      <c r="A157" s="108"/>
      <c r="B157" s="108">
        <v>18</v>
      </c>
      <c r="C157" s="108" t="str">
        <f>IFERROR(VLOOKUP(B157,'Control Sheet_Custom'!$A:$B,2,0),"")</f>
        <v/>
      </c>
      <c r="D157" s="108" t="s">
        <v>1037</v>
      </c>
      <c r="E157" s="154" t="s">
        <v>648</v>
      </c>
      <c r="F157" s="108" t="s">
        <v>639</v>
      </c>
      <c r="G157" t="e">
        <f t="array" aca="1" ref="G157" ca="1">CLONE1LEVELLIST("Client_brand_list",8,,"PENTAGON")</f>
        <v>#VALUE!</v>
      </c>
    </row>
    <row r="158" spans="1:12" x14ac:dyDescent="0.3">
      <c r="A158" s="108"/>
      <c r="B158" s="108">
        <v>18</v>
      </c>
      <c r="C158" s="108" t="str">
        <f>IFERROR(VLOOKUP(B158,'Control Sheet_Custom'!$A:$B,2,0),"")</f>
        <v/>
      </c>
      <c r="D158" s="108" t="s">
        <v>1037</v>
      </c>
      <c r="E158" s="154" t="s">
        <v>650</v>
      </c>
      <c r="F158" s="108" t="s">
        <v>639</v>
      </c>
      <c r="G158" t="e">
        <f t="array" aca="1" ref="G158" ca="1">CLONE1LEVELLIST("Client_brand_list",9,,"PENTAGON")</f>
        <v>#VALUE!</v>
      </c>
    </row>
    <row r="159" spans="1:12" x14ac:dyDescent="0.3">
      <c r="A159" s="108"/>
      <c r="B159" s="108">
        <v>18</v>
      </c>
      <c r="C159" s="108" t="str">
        <f>IFERROR(VLOOKUP(B159,'Control Sheet_Custom'!$A:$B,2,0),"")</f>
        <v/>
      </c>
      <c r="D159" s="108" t="s">
        <v>1037</v>
      </c>
      <c r="E159" s="154" t="s">
        <v>652</v>
      </c>
      <c r="F159" s="108" t="s">
        <v>639</v>
      </c>
      <c r="G159" t="e">
        <f t="array" aca="1" ref="G159" ca="1">CLONE1LEVELLIST("Client_brand_list",10,,"PENTAGON")</f>
        <v>#VALUE!</v>
      </c>
    </row>
    <row r="160" spans="1:12" x14ac:dyDescent="0.3">
      <c r="A160" s="108"/>
      <c r="B160" s="108">
        <v>18</v>
      </c>
      <c r="C160" s="108" t="str">
        <f>IFERROR(VLOOKUP(B160,'Control Sheet_Custom'!$A:$B,2,0),"")</f>
        <v/>
      </c>
      <c r="D160" s="108" t="s">
        <v>1039</v>
      </c>
      <c r="E160" s="159" t="s">
        <v>829</v>
      </c>
      <c r="F160" s="108"/>
      <c r="G160" t="e">
        <f ca="1">G155</f>
        <v>#VALUE!</v>
      </c>
      <c r="L160" s="142"/>
    </row>
    <row r="161" spans="1:7" x14ac:dyDescent="0.3">
      <c r="A161" s="108"/>
      <c r="B161" s="108">
        <v>18</v>
      </c>
      <c r="C161" s="108" t="str">
        <f>IFERROR(VLOOKUP(B161,'Control Sheet_Custom'!$A:$B,2,0),"")</f>
        <v/>
      </c>
      <c r="D161" s="108" t="s">
        <v>1039</v>
      </c>
      <c r="E161" s="159" t="s">
        <v>831</v>
      </c>
      <c r="F161" s="108"/>
      <c r="G161" t="e">
        <f ca="1">G156</f>
        <v>#VALUE!</v>
      </c>
    </row>
    <row r="162" spans="1:7" x14ac:dyDescent="0.3">
      <c r="A162" s="108"/>
      <c r="B162" s="108">
        <v>18</v>
      </c>
      <c r="C162" s="108" t="str">
        <f>IFERROR(VLOOKUP(B162,'Control Sheet_Custom'!$A:$B,2,0),"")</f>
        <v/>
      </c>
      <c r="D162" s="108" t="s">
        <v>1039</v>
      </c>
      <c r="E162" s="159" t="s">
        <v>832</v>
      </c>
      <c r="F162" s="108"/>
      <c r="G162" t="e">
        <f ca="1">G157</f>
        <v>#VALUE!</v>
      </c>
    </row>
    <row r="163" spans="1:7" x14ac:dyDescent="0.3">
      <c r="A163" s="108"/>
      <c r="B163" s="108">
        <v>18</v>
      </c>
      <c r="C163" s="108" t="str">
        <f>IFERROR(VLOOKUP(B163,'Control Sheet_Custom'!$A:$B,2,0),"")</f>
        <v/>
      </c>
      <c r="D163" s="108" t="s">
        <v>1039</v>
      </c>
      <c r="E163" s="159" t="s">
        <v>833</v>
      </c>
      <c r="F163" s="108"/>
      <c r="G163" t="e">
        <f ca="1">G158</f>
        <v>#VALUE!</v>
      </c>
    </row>
    <row r="164" spans="1:7" x14ac:dyDescent="0.3">
      <c r="A164" s="108"/>
      <c r="B164" s="108">
        <v>18</v>
      </c>
      <c r="C164" s="108" t="str">
        <f>IFERROR(VLOOKUP(B164,'Control Sheet_Custom'!$A:$B,2,0),"")</f>
        <v/>
      </c>
      <c r="D164" s="108" t="s">
        <v>1039</v>
      </c>
      <c r="E164" s="159" t="s">
        <v>834</v>
      </c>
      <c r="F164" s="108"/>
      <c r="G164" t="e">
        <f ca="1">G159</f>
        <v>#VALUE!</v>
      </c>
    </row>
    <row r="165" spans="1:7" x14ac:dyDescent="0.3">
      <c r="A165" s="108"/>
      <c r="B165" s="108"/>
      <c r="C165" s="108"/>
      <c r="D165" s="108"/>
      <c r="E165" s="153"/>
      <c r="F165" s="108"/>
    </row>
    <row r="166" spans="1:7" x14ac:dyDescent="0.3">
      <c r="A166" s="108"/>
      <c r="B166" s="108">
        <v>20</v>
      </c>
      <c r="C166" s="108" t="str">
        <f>IFERROR(VLOOKUP(B166,'Control Sheet_Custom'!$A:$B,2,0),"")</f>
        <v/>
      </c>
      <c r="D166" s="108" t="s">
        <v>1037</v>
      </c>
      <c r="E166" s="154" t="s">
        <v>637</v>
      </c>
      <c r="F166" s="108" t="s">
        <v>639</v>
      </c>
      <c r="G166" t="e">
        <f t="array" aca="1" ref="G166" ca="1">CLONE1LEVELLIST("Client_brand_list",7,,"HEXA")</f>
        <v>#VALUE!</v>
      </c>
    </row>
    <row r="167" spans="1:7" x14ac:dyDescent="0.3">
      <c r="A167" s="108"/>
      <c r="B167" s="108">
        <v>20</v>
      </c>
      <c r="C167" s="108" t="str">
        <f>IFERROR(VLOOKUP(B167,'Control Sheet_Custom'!$A:$B,2,0),"")</f>
        <v/>
      </c>
      <c r="D167" s="108" t="s">
        <v>1037</v>
      </c>
      <c r="E167" s="154" t="s">
        <v>646</v>
      </c>
      <c r="F167" s="108" t="s">
        <v>639</v>
      </c>
      <c r="G167" t="e">
        <f t="array" aca="1" ref="G167" ca="1">CLONE1LEVELLIST("Client_brand_list",8,,"HEXA")</f>
        <v>#VALUE!</v>
      </c>
    </row>
    <row r="168" spans="1:7" x14ac:dyDescent="0.3">
      <c r="A168" s="108"/>
      <c r="B168" s="108">
        <v>20</v>
      </c>
      <c r="C168" s="108" t="str">
        <f>IFERROR(VLOOKUP(B168,'Control Sheet_Custom'!$A:$B,2,0),"")</f>
        <v/>
      </c>
      <c r="D168" s="108" t="s">
        <v>1037</v>
      </c>
      <c r="E168" s="154" t="s">
        <v>648</v>
      </c>
      <c r="F168" s="108" t="s">
        <v>639</v>
      </c>
      <c r="G168" t="e">
        <f t="array" aca="1" ref="G168" ca="1">CLONE1LEVELLIST("Client_brand_list",9,,"HEXA")</f>
        <v>#VALUE!</v>
      </c>
    </row>
    <row r="169" spans="1:7" x14ac:dyDescent="0.3">
      <c r="A169" s="108"/>
      <c r="B169" s="108">
        <v>20</v>
      </c>
      <c r="C169" s="108" t="str">
        <f>IFERROR(VLOOKUP(B169,'Control Sheet_Custom'!$A:$B,2,0),"")</f>
        <v/>
      </c>
      <c r="D169" s="108" t="s">
        <v>1037</v>
      </c>
      <c r="E169" s="154" t="s">
        <v>650</v>
      </c>
      <c r="F169" s="108" t="s">
        <v>639</v>
      </c>
      <c r="G169" t="e">
        <f t="array" aca="1" ref="G169" ca="1">CLONE1LEVELLIST("Client_brand_list",10,,"HEXA")</f>
        <v>#VALUE!</v>
      </c>
    </row>
    <row r="170" spans="1:7" x14ac:dyDescent="0.3">
      <c r="A170" s="108"/>
      <c r="B170" s="108">
        <v>20</v>
      </c>
      <c r="C170" s="108" t="str">
        <f>IFERROR(VLOOKUP(B170,'Control Sheet_Custom'!$A:$B,2,0),"")</f>
        <v/>
      </c>
      <c r="D170" s="108" t="s">
        <v>1037</v>
      </c>
      <c r="E170" s="154" t="s">
        <v>652</v>
      </c>
      <c r="F170" s="108" t="s">
        <v>639</v>
      </c>
      <c r="G170" t="e">
        <f t="array" aca="1" ref="G170" ca="1">CLONE1LEVELLIST("Client_brand_list",11,,"HEXA")</f>
        <v>#VALUE!</v>
      </c>
    </row>
    <row r="171" spans="1:7" x14ac:dyDescent="0.3">
      <c r="A171" s="108"/>
      <c r="B171" s="108">
        <v>20</v>
      </c>
      <c r="C171" s="108" t="str">
        <f>IFERROR(VLOOKUP(B171,'Control Sheet_Custom'!$A:$B,2,0),"")</f>
        <v/>
      </c>
      <c r="D171" s="108" t="s">
        <v>1037</v>
      </c>
      <c r="E171" s="154" t="s">
        <v>654</v>
      </c>
      <c r="F171" s="108" t="s">
        <v>639</v>
      </c>
      <c r="G171" t="e">
        <f t="array" aca="1" ref="G171" ca="1">CLONE1LEVELLIST("Client_brand_list",12,,"HEXA")</f>
        <v>#VALUE!</v>
      </c>
    </row>
    <row r="172" spans="1:7" x14ac:dyDescent="0.3">
      <c r="A172" s="108"/>
      <c r="B172" s="108">
        <v>20</v>
      </c>
      <c r="C172" s="108" t="str">
        <f>IFERROR(VLOOKUP(B172,'Control Sheet_Custom'!$A:$B,2,0),"")</f>
        <v/>
      </c>
      <c r="D172" s="108" t="s">
        <v>1037</v>
      </c>
      <c r="E172" s="154" t="s">
        <v>679</v>
      </c>
      <c r="F172" s="108" t="s">
        <v>639</v>
      </c>
      <c r="G172" t="e">
        <f t="array" aca="1" ref="G172" ca="1">CLONE1LEVELLIST("Client_brand_list",7,,"HEXA")</f>
        <v>#VALUE!</v>
      </c>
    </row>
    <row r="173" spans="1:7" x14ac:dyDescent="0.3">
      <c r="A173" s="108"/>
      <c r="B173" s="108">
        <v>20</v>
      </c>
      <c r="C173" s="108" t="str">
        <f>IFERROR(VLOOKUP(B173,'Control Sheet_Custom'!$A:$B,2,0),"")</f>
        <v/>
      </c>
      <c r="D173" s="108" t="s">
        <v>1037</v>
      </c>
      <c r="E173" s="154" t="s">
        <v>682</v>
      </c>
      <c r="F173" s="108" t="s">
        <v>639</v>
      </c>
      <c r="G173" t="e">
        <f t="array" aca="1" ref="G173" ca="1">CLONE1LEVELLIST("Client_brand_list",8,,"HEXA")</f>
        <v>#VALUE!</v>
      </c>
    </row>
    <row r="174" spans="1:7" x14ac:dyDescent="0.3">
      <c r="A174" s="108"/>
      <c r="B174" s="108">
        <v>20</v>
      </c>
      <c r="C174" s="108" t="str">
        <f>IFERROR(VLOOKUP(B174,'Control Sheet_Custom'!$A:$B,2,0),"")</f>
        <v/>
      </c>
      <c r="D174" s="108" t="s">
        <v>1037</v>
      </c>
      <c r="E174" s="154" t="s">
        <v>690</v>
      </c>
      <c r="F174" s="108" t="s">
        <v>639</v>
      </c>
      <c r="G174" t="e">
        <f t="array" aca="1" ref="G174" ca="1">CLONE1LEVELLIST("Client_brand_list",9,,"HEXA")</f>
        <v>#VALUE!</v>
      </c>
    </row>
    <row r="175" spans="1:7" x14ac:dyDescent="0.3">
      <c r="A175" s="108"/>
      <c r="B175" s="108">
        <v>20</v>
      </c>
      <c r="C175" s="108" t="str">
        <f>IFERROR(VLOOKUP(B175,'Control Sheet_Custom'!$A:$B,2,0),"")</f>
        <v/>
      </c>
      <c r="D175" s="108" t="s">
        <v>1037</v>
      </c>
      <c r="E175" s="154" t="s">
        <v>692</v>
      </c>
      <c r="F175" s="108" t="s">
        <v>639</v>
      </c>
      <c r="G175" t="e">
        <f t="array" aca="1" ref="G175" ca="1">CLONE1LEVELLIST("Client_brand_list",10,,"HEXA")</f>
        <v>#VALUE!</v>
      </c>
    </row>
    <row r="176" spans="1:7" x14ac:dyDescent="0.3">
      <c r="A176" s="108"/>
      <c r="B176" s="108">
        <v>20</v>
      </c>
      <c r="C176" s="108" t="str">
        <f>IFERROR(VLOOKUP(B176,'Control Sheet_Custom'!$A:$B,2,0),"")</f>
        <v/>
      </c>
      <c r="D176" s="108" t="s">
        <v>1037</v>
      </c>
      <c r="E176" s="154" t="s">
        <v>703</v>
      </c>
      <c r="F176" s="108" t="s">
        <v>639</v>
      </c>
      <c r="G176" t="e">
        <f t="array" aca="1" ref="G176" ca="1">CLONE1LEVELLIST("Client_brand_list",11,,"HEXA")</f>
        <v>#VALUE!</v>
      </c>
    </row>
    <row r="177" spans="1:12" x14ac:dyDescent="0.3">
      <c r="A177" s="108"/>
      <c r="B177" s="108">
        <v>20</v>
      </c>
      <c r="C177" s="108" t="str">
        <f>IFERROR(VLOOKUP(B177,'Control Sheet_Custom'!$A:$B,2,0),"")</f>
        <v/>
      </c>
      <c r="D177" s="108" t="s">
        <v>1037</v>
      </c>
      <c r="E177" s="154" t="s">
        <v>704</v>
      </c>
      <c r="F177" s="108" t="s">
        <v>639</v>
      </c>
      <c r="G177" t="e">
        <f t="array" aca="1" ref="G177" ca="1">CLONE1LEVELLIST("Client_brand_list",12,,"HEXA")</f>
        <v>#VALUE!</v>
      </c>
    </row>
    <row r="178" spans="1:12" x14ac:dyDescent="0.3">
      <c r="A178" s="108"/>
      <c r="B178" s="108">
        <v>20</v>
      </c>
      <c r="C178" s="108" t="str">
        <f>IFERROR(VLOOKUP(B178,'Control Sheet_Custom'!$A:$B,2,0),"")</f>
        <v/>
      </c>
      <c r="D178" s="108" t="s">
        <v>1039</v>
      </c>
      <c r="E178" s="159" t="s">
        <v>829</v>
      </c>
      <c r="F178" s="108"/>
      <c r="G178" t="e">
        <f t="shared" ref="G178:G183" ca="1" si="2">G166</f>
        <v>#VALUE!</v>
      </c>
      <c r="L178" s="142"/>
    </row>
    <row r="179" spans="1:12" x14ac:dyDescent="0.3">
      <c r="A179" s="108"/>
      <c r="B179" s="108">
        <v>20</v>
      </c>
      <c r="C179" s="108" t="str">
        <f>IFERROR(VLOOKUP(B179,'Control Sheet_Custom'!$A:$B,2,0),"")</f>
        <v/>
      </c>
      <c r="D179" s="108" t="s">
        <v>1039</v>
      </c>
      <c r="E179" s="159" t="s">
        <v>831</v>
      </c>
      <c r="F179" s="108"/>
      <c r="G179" t="e">
        <f t="shared" ca="1" si="2"/>
        <v>#VALUE!</v>
      </c>
    </row>
    <row r="180" spans="1:12" x14ac:dyDescent="0.3">
      <c r="A180" s="108"/>
      <c r="B180" s="108">
        <v>20</v>
      </c>
      <c r="C180" s="108" t="str">
        <f>IFERROR(VLOOKUP(B180,'Control Sheet_Custom'!$A:$B,2,0),"")</f>
        <v/>
      </c>
      <c r="D180" s="108" t="s">
        <v>1039</v>
      </c>
      <c r="E180" s="159" t="s">
        <v>832</v>
      </c>
      <c r="F180" s="108"/>
      <c r="G180" t="e">
        <f t="shared" ca="1" si="2"/>
        <v>#VALUE!</v>
      </c>
    </row>
    <row r="181" spans="1:12" x14ac:dyDescent="0.3">
      <c r="A181" s="108"/>
      <c r="B181" s="108">
        <v>20</v>
      </c>
      <c r="C181" s="108" t="str">
        <f>IFERROR(VLOOKUP(B181,'Control Sheet_Custom'!$A:$B,2,0),"")</f>
        <v/>
      </c>
      <c r="D181" s="108" t="s">
        <v>1039</v>
      </c>
      <c r="E181" s="159" t="s">
        <v>833</v>
      </c>
      <c r="F181" s="108"/>
      <c r="G181" t="e">
        <f t="shared" ca="1" si="2"/>
        <v>#VALUE!</v>
      </c>
    </row>
    <row r="182" spans="1:12" x14ac:dyDescent="0.3">
      <c r="A182" s="108"/>
      <c r="B182" s="108">
        <v>20</v>
      </c>
      <c r="C182" s="108" t="str">
        <f>IFERROR(VLOOKUP(B182,'Control Sheet_Custom'!$A:$B,2,0),"")</f>
        <v/>
      </c>
      <c r="D182" s="108" t="s">
        <v>1039</v>
      </c>
      <c r="E182" s="159" t="s">
        <v>834</v>
      </c>
      <c r="F182" s="108"/>
      <c r="G182" t="e">
        <f t="shared" ca="1" si="2"/>
        <v>#VALUE!</v>
      </c>
    </row>
    <row r="183" spans="1:12" x14ac:dyDescent="0.3">
      <c r="A183" s="108"/>
      <c r="B183" s="108">
        <v>20</v>
      </c>
      <c r="C183" s="108" t="str">
        <f>IFERROR(VLOOKUP(B183,'Control Sheet_Custom'!$A:$B,2,0),"")</f>
        <v/>
      </c>
      <c r="D183" s="108" t="s">
        <v>1039</v>
      </c>
      <c r="E183" s="159" t="s">
        <v>835</v>
      </c>
      <c r="F183" s="108"/>
      <c r="G183" t="e">
        <f t="shared" ca="1" si="2"/>
        <v>#VALUE!</v>
      </c>
    </row>
    <row r="184" spans="1:12" x14ac:dyDescent="0.3">
      <c r="A184" s="108"/>
      <c r="B184" s="108"/>
      <c r="C184" s="108"/>
      <c r="D184" s="108"/>
      <c r="E184" s="159"/>
      <c r="F184" s="108"/>
    </row>
    <row r="185" spans="1:12" x14ac:dyDescent="0.3">
      <c r="A185" s="108"/>
      <c r="B185" s="108">
        <v>8</v>
      </c>
      <c r="C185" s="108" t="str">
        <f>IFERROR(VLOOKUP(B185,'Control Sheet_Custom'!$A:$B,2,0),"")</f>
        <v/>
      </c>
      <c r="D185" s="108" t="s">
        <v>1037</v>
      </c>
      <c r="E185" s="154" t="s">
        <v>705</v>
      </c>
      <c r="F185" s="108" t="s">
        <v>639</v>
      </c>
      <c r="G185" t="e">
        <f t="array" aca="1" ref="G185" ca="1">CLONE1LEVELLIST("Funnel_brand",7,,"HEXA")</f>
        <v>#VALUE!</v>
      </c>
    </row>
    <row r="186" spans="1:12" x14ac:dyDescent="0.3">
      <c r="A186" s="108"/>
      <c r="B186" s="108">
        <v>8</v>
      </c>
      <c r="C186" s="108" t="str">
        <f>IFERROR(VLOOKUP(B186,'Control Sheet_Custom'!$A:$B,2,0),"")</f>
        <v/>
      </c>
      <c r="D186" s="108" t="s">
        <v>1037</v>
      </c>
      <c r="E186" s="154" t="s">
        <v>709</v>
      </c>
      <c r="F186" s="108" t="s">
        <v>639</v>
      </c>
      <c r="G186" t="e">
        <f t="array" aca="1" ref="G186" ca="1">CLONE1LEVELLIST("Funnel_brand",8,,"HEXA")</f>
        <v>#VALUE!</v>
      </c>
    </row>
    <row r="187" spans="1:12" x14ac:dyDescent="0.3">
      <c r="A187" s="108"/>
      <c r="B187" s="108">
        <v>8</v>
      </c>
      <c r="C187" s="108" t="str">
        <f>IFERROR(VLOOKUP(B187,'Control Sheet_Custom'!$A:$B,2,0),"")</f>
        <v/>
      </c>
      <c r="D187" s="108" t="s">
        <v>1037</v>
      </c>
      <c r="E187" s="154" t="s">
        <v>711</v>
      </c>
      <c r="F187" s="108" t="s">
        <v>639</v>
      </c>
      <c r="G187" t="e">
        <f t="array" aca="1" ref="G187" ca="1">CLONE1LEVELLIST("Funnel_brand",9,,"HEXA")</f>
        <v>#VALUE!</v>
      </c>
    </row>
    <row r="188" spans="1:12" x14ac:dyDescent="0.3">
      <c r="A188" s="108"/>
      <c r="B188" s="108">
        <v>8</v>
      </c>
      <c r="C188" s="108" t="str">
        <f>IFERROR(VLOOKUP(B188,'Control Sheet_Custom'!$A:$B,2,0),"")</f>
        <v/>
      </c>
      <c r="D188" s="108" t="s">
        <v>1037</v>
      </c>
      <c r="E188" s="154" t="s">
        <v>713</v>
      </c>
      <c r="F188" s="108" t="s">
        <v>639</v>
      </c>
      <c r="G188" t="e">
        <f t="array" aca="1" ref="G188" ca="1">CLONE1LEVELLIST("Funnel_brand",10,,"HEXA")</f>
        <v>#VALUE!</v>
      </c>
    </row>
    <row r="189" spans="1:12" x14ac:dyDescent="0.3">
      <c r="A189" s="108"/>
      <c r="B189" s="108">
        <v>8</v>
      </c>
      <c r="C189" s="108" t="str">
        <f>IFERROR(VLOOKUP(B189,'Control Sheet_Custom'!$A:$B,2,0),"")</f>
        <v/>
      </c>
      <c r="D189" s="108" t="s">
        <v>1037</v>
      </c>
      <c r="E189" s="154" t="s">
        <v>715</v>
      </c>
      <c r="F189" s="108" t="s">
        <v>639</v>
      </c>
      <c r="G189" t="e">
        <f t="array" aca="1" ref="G189" ca="1">CLONE1LEVELLIST("Funnel_brand",11,,"HEXA")</f>
        <v>#VALUE!</v>
      </c>
    </row>
    <row r="190" spans="1:12" x14ac:dyDescent="0.3">
      <c r="A190" s="108"/>
      <c r="B190" s="108">
        <v>8</v>
      </c>
      <c r="C190" s="108" t="str">
        <f>IFERROR(VLOOKUP(B190,'Control Sheet_Custom'!$A:$B,2,0),"")</f>
        <v/>
      </c>
      <c r="D190" s="108" t="s">
        <v>1037</v>
      </c>
      <c r="E190" s="154" t="s">
        <v>717</v>
      </c>
      <c r="F190" s="108" t="s">
        <v>639</v>
      </c>
      <c r="G190" t="e">
        <f t="array" aca="1" ref="G190" ca="1">CLONE1LEVELLIST("Funnel_brand",12,,"HEXA")</f>
        <v>#VALUE!</v>
      </c>
    </row>
    <row r="191" spans="1:12" x14ac:dyDescent="0.3">
      <c r="A191" s="108"/>
      <c r="B191" s="108">
        <v>8</v>
      </c>
      <c r="C191" s="108" t="str">
        <f>IFERROR(VLOOKUP(B191,'Control Sheet_Custom'!$A:$B,2,0),"")</f>
        <v/>
      </c>
      <c r="D191" s="108" t="s">
        <v>1039</v>
      </c>
      <c r="E191" s="159" t="s">
        <v>829</v>
      </c>
      <c r="F191" s="108"/>
      <c r="G191" t="e">
        <f t="shared" ref="G191:G196" ca="1" si="3">G185</f>
        <v>#VALUE!</v>
      </c>
      <c r="L191" s="142"/>
    </row>
    <row r="192" spans="1:12" x14ac:dyDescent="0.3">
      <c r="A192" s="108"/>
      <c r="B192" s="108">
        <v>8</v>
      </c>
      <c r="C192" s="108" t="str">
        <f>IFERROR(VLOOKUP(B192,'Control Sheet_Custom'!$A:$B,2,0),"")</f>
        <v/>
      </c>
      <c r="D192" s="108" t="s">
        <v>1039</v>
      </c>
      <c r="E192" s="159" t="s">
        <v>831</v>
      </c>
      <c r="F192" s="108"/>
      <c r="G192" t="e">
        <f t="shared" ca="1" si="3"/>
        <v>#VALUE!</v>
      </c>
      <c r="L192" s="142"/>
    </row>
    <row r="193" spans="1:12" x14ac:dyDescent="0.3">
      <c r="A193" s="108"/>
      <c r="B193" s="108">
        <v>8</v>
      </c>
      <c r="C193" s="108" t="str">
        <f>IFERROR(VLOOKUP(B193,'Control Sheet_Custom'!$A:$B,2,0),"")</f>
        <v/>
      </c>
      <c r="D193" s="108" t="s">
        <v>1039</v>
      </c>
      <c r="E193" s="159" t="s">
        <v>832</v>
      </c>
      <c r="F193" s="108"/>
      <c r="G193" t="e">
        <f t="shared" ca="1" si="3"/>
        <v>#VALUE!</v>
      </c>
      <c r="L193" s="142"/>
    </row>
    <row r="194" spans="1:12" x14ac:dyDescent="0.3">
      <c r="A194" s="108"/>
      <c r="B194" s="108">
        <v>8</v>
      </c>
      <c r="C194" s="108" t="str">
        <f>IFERROR(VLOOKUP(B194,'Control Sheet_Custom'!$A:$B,2,0),"")</f>
        <v/>
      </c>
      <c r="D194" s="108" t="s">
        <v>1039</v>
      </c>
      <c r="E194" s="159" t="s">
        <v>833</v>
      </c>
      <c r="F194" s="108"/>
      <c r="G194" t="e">
        <f t="shared" ca="1" si="3"/>
        <v>#VALUE!</v>
      </c>
      <c r="L194" s="142"/>
    </row>
    <row r="195" spans="1:12" x14ac:dyDescent="0.3">
      <c r="A195" s="108"/>
      <c r="B195" s="108">
        <v>8</v>
      </c>
      <c r="C195" s="108" t="str">
        <f>IFERROR(VLOOKUP(B195,'Control Sheet_Custom'!$A:$B,2,0),"")</f>
        <v/>
      </c>
      <c r="D195" s="108" t="s">
        <v>1039</v>
      </c>
      <c r="E195" s="159" t="s">
        <v>834</v>
      </c>
      <c r="F195" s="108"/>
      <c r="G195" t="e">
        <f t="shared" ca="1" si="3"/>
        <v>#VALUE!</v>
      </c>
      <c r="L195" s="142"/>
    </row>
    <row r="196" spans="1:12" x14ac:dyDescent="0.3">
      <c r="A196" s="108"/>
      <c r="B196" s="108">
        <v>8</v>
      </c>
      <c r="C196" s="108" t="str">
        <f>IFERROR(VLOOKUP(B196,'Control Sheet_Custom'!$A:$B,2,0),"")</f>
        <v/>
      </c>
      <c r="D196" s="108" t="s">
        <v>1039</v>
      </c>
      <c r="E196" s="159" t="s">
        <v>835</v>
      </c>
      <c r="F196" s="108"/>
      <c r="G196" t="e">
        <f t="shared" ca="1" si="3"/>
        <v>#VALUE!</v>
      </c>
      <c r="L196" s="142"/>
    </row>
    <row r="197" spans="1:12" x14ac:dyDescent="0.3">
      <c r="A197" s="108"/>
      <c r="B197" s="108">
        <v>8</v>
      </c>
      <c r="C197" s="108" t="str">
        <f>IFERROR(VLOOKUP(B197,'Control Sheet_Custom'!$A:$B,2,0),"")</f>
        <v/>
      </c>
      <c r="D197" s="108" t="s">
        <v>1039</v>
      </c>
      <c r="E197" s="116" t="s">
        <v>860</v>
      </c>
      <c r="F197" s="108" t="s">
        <v>639</v>
      </c>
      <c r="G197" t="e">
        <f t="array" aca="1" ref="G197" ca="1">CLONE1LEVELLIST("Funnel_brand",7,,"HEXA")</f>
        <v>#VALUE!</v>
      </c>
      <c r="L197" s="142"/>
    </row>
    <row r="198" spans="1:12" x14ac:dyDescent="0.3">
      <c r="A198" s="108"/>
      <c r="B198" s="108">
        <v>8</v>
      </c>
      <c r="C198" s="108" t="str">
        <f>IFERROR(VLOOKUP(B198,'Control Sheet_Custom'!$A:$B,2,0),"")</f>
        <v/>
      </c>
      <c r="D198" s="108" t="s">
        <v>1039</v>
      </c>
      <c r="E198" s="116" t="s">
        <v>864</v>
      </c>
      <c r="F198" s="108" t="s">
        <v>639</v>
      </c>
      <c r="G198" t="e">
        <f t="array" aca="1" ref="G198" ca="1">CLONE1LEVELLIST("Funnel_brand",7,,"HEXA")</f>
        <v>#VALUE!</v>
      </c>
      <c r="L198" s="142"/>
    </row>
    <row r="199" spans="1:12" x14ac:dyDescent="0.3">
      <c r="A199" s="108"/>
      <c r="B199" s="108">
        <v>8</v>
      </c>
      <c r="C199" s="108" t="str">
        <f>IFERROR(VLOOKUP(B199,'Control Sheet_Custom'!$A:$B,2,0),"")</f>
        <v/>
      </c>
      <c r="D199" s="108" t="s">
        <v>1039</v>
      </c>
      <c r="E199" s="116" t="s">
        <v>866</v>
      </c>
      <c r="F199" s="108" t="s">
        <v>639</v>
      </c>
      <c r="G199" t="e">
        <f t="array" aca="1" ref="G199" ca="1">CLONE1LEVELLIST("Funnel_brand",7,,"HEXA")</f>
        <v>#VALUE!</v>
      </c>
      <c r="L199" s="142"/>
    </row>
    <row r="200" spans="1:12" x14ac:dyDescent="0.3">
      <c r="A200" s="108"/>
      <c r="B200" s="108">
        <v>8</v>
      </c>
      <c r="C200" s="108" t="str">
        <f>IFERROR(VLOOKUP(B200,'Control Sheet_Custom'!$A:$B,2,0),"")</f>
        <v/>
      </c>
      <c r="D200" s="108" t="s">
        <v>1039</v>
      </c>
      <c r="E200" s="116" t="s">
        <v>868</v>
      </c>
      <c r="F200" s="108" t="s">
        <v>639</v>
      </c>
      <c r="G200" t="e">
        <f t="array" aca="1" ref="G200" ca="1">CLONE1LEVELLIST("Funnel_brand",8,,"HEXA")</f>
        <v>#VALUE!</v>
      </c>
      <c r="L200" s="142"/>
    </row>
    <row r="201" spans="1:12" x14ac:dyDescent="0.3">
      <c r="A201" s="108"/>
      <c r="B201" s="108">
        <v>8</v>
      </c>
      <c r="C201" s="108" t="str">
        <f>IFERROR(VLOOKUP(B201,'Control Sheet_Custom'!$A:$B,2,0),"")</f>
        <v/>
      </c>
      <c r="D201" s="108" t="s">
        <v>1039</v>
      </c>
      <c r="E201" s="116" t="s">
        <v>871</v>
      </c>
      <c r="F201" s="108" t="s">
        <v>639</v>
      </c>
      <c r="G201" t="e">
        <f t="array" aca="1" ref="G201" ca="1">CLONE1LEVELLIST("Funnel_brand",8,,"HEXA")</f>
        <v>#VALUE!</v>
      </c>
      <c r="L201" s="142"/>
    </row>
    <row r="202" spans="1:12" x14ac:dyDescent="0.3">
      <c r="A202" s="108"/>
      <c r="B202" s="108">
        <v>8</v>
      </c>
      <c r="C202" s="108" t="str">
        <f>IFERROR(VLOOKUP(B202,'Control Sheet_Custom'!$A:$B,2,0),"")</f>
        <v/>
      </c>
      <c r="D202" s="108" t="s">
        <v>1039</v>
      </c>
      <c r="E202" s="116" t="s">
        <v>873</v>
      </c>
      <c r="F202" s="108" t="s">
        <v>639</v>
      </c>
      <c r="G202" t="e">
        <f t="array" aca="1" ref="G202" ca="1">CLONE1LEVELLIST("Funnel_brand",8,,"HEXA")</f>
        <v>#VALUE!</v>
      </c>
      <c r="L202" s="142"/>
    </row>
    <row r="203" spans="1:12" x14ac:dyDescent="0.3">
      <c r="A203" s="108"/>
      <c r="B203" s="108">
        <v>8</v>
      </c>
      <c r="C203" s="108" t="str">
        <f>IFERROR(VLOOKUP(B203,'Control Sheet_Custom'!$A:$B,2,0),"")</f>
        <v/>
      </c>
      <c r="D203" s="108" t="s">
        <v>1039</v>
      </c>
      <c r="E203" s="116" t="s">
        <v>875</v>
      </c>
      <c r="F203" s="108" t="s">
        <v>639</v>
      </c>
      <c r="G203" t="e">
        <f t="array" aca="1" ref="G203" ca="1">CLONE1LEVELLIST("Funnel_brand",9,,"HEXA")</f>
        <v>#VALUE!</v>
      </c>
      <c r="L203" s="142"/>
    </row>
    <row r="204" spans="1:12" x14ac:dyDescent="0.3">
      <c r="A204" s="108"/>
      <c r="B204" s="108">
        <v>8</v>
      </c>
      <c r="C204" s="108" t="str">
        <f>IFERROR(VLOOKUP(B204,'Control Sheet_Custom'!$A:$B,2,0),"")</f>
        <v/>
      </c>
      <c r="D204" s="108" t="s">
        <v>1039</v>
      </c>
      <c r="E204" s="116" t="s">
        <v>878</v>
      </c>
      <c r="F204" s="108" t="s">
        <v>639</v>
      </c>
      <c r="G204" t="e">
        <f t="array" aca="1" ref="G204" ca="1">CLONE1LEVELLIST("Funnel_brand",9,,"HEXA")</f>
        <v>#VALUE!</v>
      </c>
      <c r="L204" s="142"/>
    </row>
    <row r="205" spans="1:12" x14ac:dyDescent="0.3">
      <c r="A205" s="108"/>
      <c r="B205" s="108">
        <v>8</v>
      </c>
      <c r="C205" s="108" t="str">
        <f>IFERROR(VLOOKUP(B205,'Control Sheet_Custom'!$A:$B,2,0),"")</f>
        <v/>
      </c>
      <c r="D205" s="108" t="s">
        <v>1039</v>
      </c>
      <c r="E205" s="116" t="s">
        <v>880</v>
      </c>
      <c r="F205" s="108" t="s">
        <v>639</v>
      </c>
      <c r="G205" t="e">
        <f t="array" aca="1" ref="G205" ca="1">CLONE1LEVELLIST("Funnel_brand",9,,"HEXA")</f>
        <v>#VALUE!</v>
      </c>
      <c r="L205" s="142"/>
    </row>
    <row r="206" spans="1:12" x14ac:dyDescent="0.3">
      <c r="A206" s="108"/>
      <c r="B206" s="108">
        <v>8</v>
      </c>
      <c r="C206" s="108" t="str">
        <f>IFERROR(VLOOKUP(B206,'Control Sheet_Custom'!$A:$B,2,0),"")</f>
        <v/>
      </c>
      <c r="D206" s="108" t="s">
        <v>1039</v>
      </c>
      <c r="E206" s="116" t="s">
        <v>882</v>
      </c>
      <c r="F206" s="108" t="s">
        <v>639</v>
      </c>
      <c r="G206" t="e">
        <f t="array" aca="1" ref="G206" ca="1">CLONE1LEVELLIST("Funnel_brand",10,,"HEXA")</f>
        <v>#VALUE!</v>
      </c>
      <c r="L206" s="142"/>
    </row>
    <row r="207" spans="1:12" x14ac:dyDescent="0.3">
      <c r="A207" s="108"/>
      <c r="B207" s="108">
        <v>8</v>
      </c>
      <c r="C207" s="108" t="str">
        <f>IFERROR(VLOOKUP(B207,'Control Sheet_Custom'!$A:$B,2,0),"")</f>
        <v/>
      </c>
      <c r="D207" s="108" t="s">
        <v>1039</v>
      </c>
      <c r="E207" s="116" t="s">
        <v>885</v>
      </c>
      <c r="F207" s="108" t="s">
        <v>639</v>
      </c>
      <c r="G207" t="e">
        <f t="array" aca="1" ref="G207" ca="1">CLONE1LEVELLIST("Funnel_brand",10,,"HEXA")</f>
        <v>#VALUE!</v>
      </c>
      <c r="L207" s="142"/>
    </row>
    <row r="208" spans="1:12" x14ac:dyDescent="0.3">
      <c r="A208" s="108"/>
      <c r="B208" s="108">
        <v>8</v>
      </c>
      <c r="C208" s="108" t="str">
        <f>IFERROR(VLOOKUP(B208,'Control Sheet_Custom'!$A:$B,2,0),"")</f>
        <v/>
      </c>
      <c r="D208" s="108" t="s">
        <v>1039</v>
      </c>
      <c r="E208" s="116" t="s">
        <v>887</v>
      </c>
      <c r="F208" s="108" t="s">
        <v>639</v>
      </c>
      <c r="G208" t="e">
        <f t="array" aca="1" ref="G208" ca="1">CLONE1LEVELLIST("Funnel_brand",10,,"HEXA")</f>
        <v>#VALUE!</v>
      </c>
      <c r="L208" s="142"/>
    </row>
    <row r="209" spans="1:12" x14ac:dyDescent="0.3">
      <c r="A209" s="108"/>
      <c r="B209" s="108">
        <v>8</v>
      </c>
      <c r="C209" s="108" t="str">
        <f>IFERROR(VLOOKUP(B209,'Control Sheet_Custom'!$A:$B,2,0),"")</f>
        <v/>
      </c>
      <c r="D209" s="108" t="s">
        <v>1039</v>
      </c>
      <c r="E209" s="116" t="s">
        <v>889</v>
      </c>
      <c r="F209" s="108" t="s">
        <v>639</v>
      </c>
      <c r="G209" t="e">
        <f t="array" aca="1" ref="G209" ca="1">CLONE1LEVELLIST("Funnel_brand",11,,"HEXA")</f>
        <v>#VALUE!</v>
      </c>
      <c r="L209" s="142"/>
    </row>
    <row r="210" spans="1:12" x14ac:dyDescent="0.3">
      <c r="A210" s="108"/>
      <c r="B210" s="108">
        <v>8</v>
      </c>
      <c r="C210" s="108" t="str">
        <f>IFERROR(VLOOKUP(B210,'Control Sheet_Custom'!$A:$B,2,0),"")</f>
        <v/>
      </c>
      <c r="D210" s="108" t="s">
        <v>1039</v>
      </c>
      <c r="E210" s="116" t="s">
        <v>892</v>
      </c>
      <c r="F210" s="108" t="s">
        <v>639</v>
      </c>
      <c r="G210" t="e">
        <f t="array" aca="1" ref="G210" ca="1">CLONE1LEVELLIST("Funnel_brand",11,,"HEXA")</f>
        <v>#VALUE!</v>
      </c>
      <c r="L210" s="142"/>
    </row>
    <row r="211" spans="1:12" x14ac:dyDescent="0.3">
      <c r="A211" s="108"/>
      <c r="B211" s="108">
        <v>8</v>
      </c>
      <c r="C211" s="108" t="str">
        <f>IFERROR(VLOOKUP(B211,'Control Sheet_Custom'!$A:$B,2,0),"")</f>
        <v/>
      </c>
      <c r="D211" s="108" t="s">
        <v>1039</v>
      </c>
      <c r="E211" s="116" t="s">
        <v>894</v>
      </c>
      <c r="F211" s="108" t="s">
        <v>639</v>
      </c>
      <c r="G211" t="e">
        <f t="array" aca="1" ref="G211" ca="1">CLONE1LEVELLIST("Funnel_brand",11,,"HEXA")</f>
        <v>#VALUE!</v>
      </c>
      <c r="L211" s="142"/>
    </row>
    <row r="212" spans="1:12" x14ac:dyDescent="0.3">
      <c r="A212" s="108"/>
      <c r="B212" s="108">
        <v>8</v>
      </c>
      <c r="C212" s="108" t="str">
        <f>IFERROR(VLOOKUP(B212,'Control Sheet_Custom'!$A:$B,2,0),"")</f>
        <v/>
      </c>
      <c r="D212" s="108" t="s">
        <v>1039</v>
      </c>
      <c r="E212" s="116" t="s">
        <v>896</v>
      </c>
      <c r="F212" s="108" t="s">
        <v>639</v>
      </c>
      <c r="G212" t="e">
        <f t="array" aca="1" ref="G212" ca="1">CLONE1LEVELLIST("Funnel_brand",12,,"HEXA")</f>
        <v>#VALUE!</v>
      </c>
      <c r="L212" s="142"/>
    </row>
    <row r="213" spans="1:12" x14ac:dyDescent="0.3">
      <c r="A213" s="108"/>
      <c r="B213" s="108">
        <v>8</v>
      </c>
      <c r="C213" s="108" t="str">
        <f>IFERROR(VLOOKUP(B213,'Control Sheet_Custom'!$A:$B,2,0),"")</f>
        <v/>
      </c>
      <c r="D213" s="108" t="s">
        <v>1039</v>
      </c>
      <c r="E213" s="116" t="s">
        <v>899</v>
      </c>
      <c r="F213" s="108" t="s">
        <v>639</v>
      </c>
      <c r="G213" t="e">
        <f t="array" aca="1" ref="G213" ca="1">CLONE1LEVELLIST("Funnel_brand",12,,"HEXA")</f>
        <v>#VALUE!</v>
      </c>
      <c r="L213" s="142"/>
    </row>
    <row r="214" spans="1:12" x14ac:dyDescent="0.3">
      <c r="A214" s="108"/>
      <c r="B214" s="108">
        <v>8</v>
      </c>
      <c r="C214" s="108" t="str">
        <f>IFERROR(VLOOKUP(B214,'Control Sheet_Custom'!$A:$B,2,0),"")</f>
        <v/>
      </c>
      <c r="D214" s="108" t="s">
        <v>1039</v>
      </c>
      <c r="E214" s="116" t="s">
        <v>901</v>
      </c>
      <c r="F214" s="108" t="s">
        <v>639</v>
      </c>
      <c r="G214" t="e">
        <f t="array" aca="1" ref="G214" ca="1">CLONE1LEVELLIST("Funnel_brand",12,,"HEXA")</f>
        <v>#VALUE!</v>
      </c>
      <c r="L214" s="142"/>
    </row>
    <row r="215" spans="1:12" x14ac:dyDescent="0.3">
      <c r="A215" s="108"/>
      <c r="B215" s="108"/>
      <c r="C215" s="108"/>
      <c r="D215" s="108"/>
      <c r="E215" s="116"/>
      <c r="F215" s="108"/>
      <c r="L215" s="142"/>
    </row>
  </sheetData>
  <mergeCells count="1">
    <mergeCell ref="B2:F2"/>
  </mergeCells>
  <conditionalFormatting sqref="A1:A3">
    <cfRule type="containsText" dxfId="24" priority="157" operator="containsText" text="Error">
      <formula>NOT(ISERROR(SEARCH("Error",A1)))</formula>
    </cfRule>
  </conditionalFormatting>
  <conditionalFormatting sqref="G1:G3">
    <cfRule type="containsText" dxfId="23" priority="156" operator="containsText" text="Error">
      <formula>NOT(ISERROR(SEARCH("Error",G1)))</formula>
    </cfRule>
  </conditionalFormatting>
  <conditionalFormatting sqref="D5">
    <cfRule type="containsText" dxfId="22" priority="61" operator="containsText" text="Error">
      <formula>NOT(ISERROR(SEARCH("Error",D5)))</formula>
    </cfRule>
  </conditionalFormatting>
  <conditionalFormatting sqref="F84:F93">
    <cfRule type="containsText" dxfId="21" priority="22" operator="containsText" text="Error">
      <formula>NOT(ISERROR(SEARCH("Error",F84)))</formula>
    </cfRule>
  </conditionalFormatting>
  <conditionalFormatting sqref="F126">
    <cfRule type="containsText" dxfId="20" priority="20" operator="containsText" text="Error">
      <formula>NOT(ISERROR(SEARCH("Error",F126)))</formula>
    </cfRule>
  </conditionalFormatting>
  <conditionalFormatting sqref="F97">
    <cfRule type="containsText" dxfId="19" priority="19" operator="containsText" text="Error">
      <formula>NOT(ISERROR(SEARCH("Error",F97)))</formula>
    </cfRule>
  </conditionalFormatting>
  <conditionalFormatting sqref="F103">
    <cfRule type="containsText" dxfId="18" priority="18" operator="containsText" text="Error">
      <formula>NOT(ISERROR(SEARCH("Error",F103)))</formula>
    </cfRule>
  </conditionalFormatting>
  <conditionalFormatting sqref="F109">
    <cfRule type="containsText" dxfId="17" priority="17" operator="containsText" text="Error">
      <formula>NOT(ISERROR(SEARCH("Error",F109)))</formula>
    </cfRule>
  </conditionalFormatting>
  <conditionalFormatting sqref="F118">
    <cfRule type="containsText" dxfId="16" priority="16" operator="containsText" text="Error">
      <formula>NOT(ISERROR(SEARCH("Error",F118)))</formula>
    </cfRule>
  </conditionalFormatting>
  <conditionalFormatting sqref="F95:F96">
    <cfRule type="containsText" dxfId="15" priority="10" operator="containsText" text="Error">
      <formula>NOT(ISERROR(SEARCH("Error",F95)))</formula>
    </cfRule>
  </conditionalFormatting>
  <conditionalFormatting sqref="F98:F99">
    <cfRule type="containsText" dxfId="14" priority="9" operator="containsText" text="Error">
      <formula>NOT(ISERROR(SEARCH("Error",F98)))</formula>
    </cfRule>
  </conditionalFormatting>
  <conditionalFormatting sqref="F101:F102">
    <cfRule type="containsText" dxfId="13" priority="8" operator="containsText" text="Error">
      <formula>NOT(ISERROR(SEARCH("Error",F101)))</formula>
    </cfRule>
  </conditionalFormatting>
  <conditionalFormatting sqref="F104:F105">
    <cfRule type="containsText" dxfId="12" priority="7" operator="containsText" text="Error">
      <formula>NOT(ISERROR(SEARCH("Error",F104)))</formula>
    </cfRule>
  </conditionalFormatting>
  <conditionalFormatting sqref="F107:F108">
    <cfRule type="containsText" dxfId="11" priority="6" operator="containsText" text="Error">
      <formula>NOT(ISERROR(SEARCH("Error",F107)))</formula>
    </cfRule>
  </conditionalFormatting>
  <conditionalFormatting sqref="F110:F111">
    <cfRule type="containsText" dxfId="10" priority="5" operator="containsText" text="Error">
      <formula>NOT(ISERROR(SEARCH("Error",F110)))</formula>
    </cfRule>
  </conditionalFormatting>
  <conditionalFormatting sqref="F113:F117">
    <cfRule type="containsText" dxfId="9" priority="4" operator="containsText" text="Error">
      <formula>NOT(ISERROR(SEARCH("Error",F113)))</formula>
    </cfRule>
  </conditionalFormatting>
  <conditionalFormatting sqref="F119:F120">
    <cfRule type="containsText" dxfId="8" priority="3" operator="containsText" text="Error">
      <formula>NOT(ISERROR(SEARCH("Error",F119)))</formula>
    </cfRule>
  </conditionalFormatting>
  <conditionalFormatting sqref="F122:F125">
    <cfRule type="containsText" dxfId="7" priority="2" operator="containsText" text="Error">
      <formula>NOT(ISERROR(SEARCH("Error",F122)))</formula>
    </cfRule>
  </conditionalFormatting>
  <dataValidations count="1">
    <dataValidation type="list" allowBlank="1" showInputMessage="1" showErrorMessage="1" sqref="A4:A9 A11:A82 A147:A183 A185:A215 A84:A145" xr:uid="{00000000-0002-0000-0900-000000000000}">
      <formula1>business_contxt</formula1>
    </dataValidation>
  </dataValidations>
  <pageMargins left="0.7" right="0.7" top="0.75" bottom="0.75" header="0.3" footer="0.3"/>
  <pageSetup paperSize="9" orientation="portrait" horizontalDpi="429496729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4">
    <tabColor rgb="FFFF0000"/>
  </sheetPr>
  <dimension ref="A2:AB7"/>
  <sheetViews>
    <sheetView showGridLines="0" zoomScale="56" zoomScaleNormal="80" zoomScaleSheetLayoutView="396" workbookViewId="0">
      <pane ySplit="3" topLeftCell="A4" activePane="bottomLeft" state="frozen"/>
      <selection activeCell="G6" sqref="G6"/>
      <selection pane="bottomLeft" activeCell="C6" sqref="C6"/>
    </sheetView>
  </sheetViews>
  <sheetFormatPr defaultColWidth="8.5546875" defaultRowHeight="14.4" x14ac:dyDescent="0.3"/>
  <cols>
    <col min="1" max="1" width="28.33203125" bestFit="1" customWidth="1"/>
    <col min="2" max="2" width="31.5546875" bestFit="1" customWidth="1"/>
    <col min="3" max="3" width="33.5546875" bestFit="1" customWidth="1"/>
    <col min="4" max="4" width="47.33203125" customWidth="1"/>
    <col min="5" max="5" width="21.33203125" bestFit="1" customWidth="1"/>
    <col min="6" max="6" width="21.33203125" customWidth="1"/>
    <col min="7" max="7" width="22.33203125" bestFit="1" customWidth="1"/>
    <col min="8" max="13" width="22.33203125" customWidth="1"/>
    <col min="14" max="14" width="16.33203125" customWidth="1"/>
    <col min="15" max="15" width="11.33203125" customWidth="1"/>
    <col min="16" max="16" width="19.33203125" customWidth="1"/>
    <col min="19" max="19" width="55.5546875" customWidth="1"/>
    <col min="20" max="20" width="46.33203125" customWidth="1"/>
    <col min="21" max="21" width="43.33203125" customWidth="1"/>
    <col min="22" max="22" width="45" customWidth="1"/>
    <col min="23" max="23" width="22.5546875" customWidth="1"/>
    <col min="25" max="25" width="20.5546875" customWidth="1"/>
    <col min="27" max="27" width="13.5546875" customWidth="1"/>
  </cols>
  <sheetData>
    <row r="2" spans="1:28" ht="15" customHeight="1" thickBot="1" x14ac:dyDescent="0.35"/>
    <row r="3" spans="1:28" s="1" customFormat="1" x14ac:dyDescent="0.3">
      <c r="A3" s="25" t="s">
        <v>1113</v>
      </c>
      <c r="B3" s="25" t="s">
        <v>1114</v>
      </c>
      <c r="C3" s="25" t="s">
        <v>1115</v>
      </c>
      <c r="D3" s="26" t="s">
        <v>1116</v>
      </c>
      <c r="E3" s="71" t="s">
        <v>1117</v>
      </c>
      <c r="F3" s="25" t="s">
        <v>1118</v>
      </c>
      <c r="G3" s="25" t="s">
        <v>1119</v>
      </c>
      <c r="H3" s="25" t="s">
        <v>1120</v>
      </c>
      <c r="I3" s="25" t="s">
        <v>1121</v>
      </c>
      <c r="J3" s="25" t="s">
        <v>1122</v>
      </c>
      <c r="K3" s="72" t="s">
        <v>1123</v>
      </c>
      <c r="L3" s="25" t="s">
        <v>1124</v>
      </c>
      <c r="M3" s="25" t="s">
        <v>1125</v>
      </c>
      <c r="N3" s="25" t="s">
        <v>1126</v>
      </c>
      <c r="O3" s="35" t="s">
        <v>1127</v>
      </c>
      <c r="P3" s="25" t="s">
        <v>1128</v>
      </c>
      <c r="Z3"/>
      <c r="AB3"/>
    </row>
    <row r="4" spans="1:28" s="22" customFormat="1" ht="116.55" customHeight="1" x14ac:dyDescent="0.3">
      <c r="A4" s="73" t="s">
        <v>36</v>
      </c>
      <c r="B4" s="28"/>
      <c r="C4" s="28" t="s">
        <v>13</v>
      </c>
      <c r="D4" s="32"/>
      <c r="E4" s="32"/>
      <c r="F4" s="28" t="s">
        <v>1129</v>
      </c>
      <c r="G4" s="28"/>
      <c r="H4" s="28" t="s">
        <v>1130</v>
      </c>
      <c r="I4" s="28"/>
      <c r="J4" s="28" t="s">
        <v>1131</v>
      </c>
      <c r="K4" s="32">
        <v>0</v>
      </c>
      <c r="L4" s="28"/>
      <c r="M4" s="32" t="s">
        <v>1132</v>
      </c>
      <c r="N4" s="28">
        <v>95</v>
      </c>
      <c r="O4" s="28">
        <v>1.96</v>
      </c>
      <c r="P4" s="28" t="s">
        <v>752</v>
      </c>
    </row>
    <row r="5" spans="1:28" ht="116.85" customHeight="1" x14ac:dyDescent="0.3"/>
    <row r="6" spans="1:28" ht="116.85" customHeight="1" x14ac:dyDescent="0.3"/>
    <row r="7" spans="1:28" ht="116.85" customHeight="1" x14ac:dyDescent="0.3"/>
  </sheetData>
  <conditionalFormatting sqref="T4:W4">
    <cfRule type="expression" dxfId="6" priority="1">
      <formula>IF(AND($H4&lt;&gt;"Python",$H4&lt;&gt;""),TRUE)</formula>
    </cfRule>
  </conditionalFormatting>
  <pageMargins left="0.7" right="0.7" top="0.75" bottom="0.75" header="0.3" footer="0.3"/>
  <pageSetup orientation="portrait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7">
    <tabColor rgb="FFFF0000"/>
  </sheetPr>
  <dimension ref="A2:R7"/>
  <sheetViews>
    <sheetView showGridLines="0" zoomScale="80" zoomScaleNormal="80" zoomScaleSheetLayoutView="396" workbookViewId="0">
      <pane ySplit="3" topLeftCell="A4" activePane="bottomLeft" state="frozen"/>
      <selection activeCell="G6" sqref="G6"/>
      <selection pane="bottomLeft" activeCell="J4" sqref="J4"/>
    </sheetView>
  </sheetViews>
  <sheetFormatPr defaultColWidth="8.5546875" defaultRowHeight="14.4" x14ac:dyDescent="0.3"/>
  <cols>
    <col min="1" max="1" width="28.33203125" bestFit="1" customWidth="1"/>
    <col min="2" max="2" width="28.33203125" customWidth="1"/>
    <col min="3" max="3" width="21.33203125" bestFit="1" customWidth="1"/>
    <col min="4" max="4" width="22.33203125" bestFit="1" customWidth="1"/>
    <col min="5" max="5" width="16.33203125" customWidth="1"/>
    <col min="6" max="6" width="11.33203125" customWidth="1"/>
    <col min="7" max="7" width="19.33203125" customWidth="1"/>
    <col min="10" max="10" width="55.5546875" customWidth="1"/>
    <col min="11" max="11" width="46.33203125" customWidth="1"/>
    <col min="12" max="12" width="43.33203125" customWidth="1"/>
    <col min="13" max="13" width="45" customWidth="1"/>
    <col min="14" max="14" width="22.5546875" customWidth="1"/>
    <col min="16" max="16" width="20.5546875" customWidth="1"/>
    <col min="18" max="18" width="13.5546875" customWidth="1"/>
  </cols>
  <sheetData>
    <row r="2" spans="1:18" ht="15" customHeight="1" thickBot="1" x14ac:dyDescent="0.35"/>
    <row r="3" spans="1:18" s="1" customFormat="1" x14ac:dyDescent="0.3">
      <c r="A3" s="25" t="s">
        <v>1113</v>
      </c>
      <c r="B3" s="25" t="s">
        <v>1133</v>
      </c>
      <c r="C3" s="25" t="s">
        <v>1134</v>
      </c>
      <c r="D3" s="25" t="s">
        <v>1135</v>
      </c>
      <c r="E3" s="25" t="s">
        <v>1128</v>
      </c>
      <c r="P3"/>
      <c r="R3"/>
    </row>
    <row r="4" spans="1:18" s="22" customFormat="1" ht="116.85" customHeight="1" x14ac:dyDescent="0.3">
      <c r="A4" s="28" t="s">
        <v>38</v>
      </c>
      <c r="B4" s="28" t="s">
        <v>35</v>
      </c>
      <c r="C4" s="28" t="s">
        <v>1136</v>
      </c>
      <c r="D4" s="28" t="s">
        <v>1137</v>
      </c>
      <c r="E4" s="28" t="s">
        <v>1138</v>
      </c>
    </row>
    <row r="5" spans="1:18" s="22" customFormat="1" ht="116.85" customHeight="1" x14ac:dyDescent="0.3">
      <c r="A5" s="28"/>
      <c r="B5" s="28"/>
      <c r="C5" s="28"/>
      <c r="D5" s="28"/>
      <c r="E5" s="28"/>
    </row>
    <row r="6" spans="1:18" s="22" customFormat="1" ht="116.85" customHeight="1" x14ac:dyDescent="0.3">
      <c r="A6" s="28"/>
      <c r="B6" s="28"/>
      <c r="C6" s="28"/>
      <c r="D6" s="28"/>
      <c r="E6" s="28"/>
    </row>
    <row r="7" spans="1:18" s="22" customFormat="1" ht="116.85" customHeight="1" x14ac:dyDescent="0.3">
      <c r="A7" s="28"/>
      <c r="B7" s="28"/>
      <c r="C7" s="28"/>
      <c r="D7" s="28"/>
      <c r="E7" s="28"/>
    </row>
  </sheetData>
  <conditionalFormatting sqref="J4:M7">
    <cfRule type="expression" dxfId="5" priority="1">
      <formula>IF(AND($D4&lt;&gt;"Python",$D4&lt;&gt;""),TRUE)</formula>
    </cfRule>
  </conditionalFormatting>
  <dataValidations count="1">
    <dataValidation type="list" allowBlank="1" showInputMessage="1" showErrorMessage="1" sqref="Q4:Q7" xr:uid="{00000000-0002-0000-0B00-000000000000}">
      <formula1>grp_agg</formula1>
    </dataValidation>
  </dataValidations>
  <pageMargins left="0.7" right="0.7" top="0.75" bottom="0.75" header="0.3" footer="0.3"/>
  <pageSetup orientation="portrait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6">
    <tabColor rgb="FFFF0000"/>
  </sheetPr>
  <dimension ref="A2:T12"/>
  <sheetViews>
    <sheetView showGridLines="0" zoomScale="85" zoomScaleNormal="70" zoomScaleSheetLayoutView="396" workbookViewId="0">
      <pane ySplit="3" topLeftCell="A9" activePane="bottomLeft" state="frozen"/>
      <selection activeCell="G6" sqref="G6"/>
      <selection pane="bottomLeft" activeCell="A10" sqref="A10:XFD10"/>
    </sheetView>
  </sheetViews>
  <sheetFormatPr defaultColWidth="8.5546875" defaultRowHeight="14.4" x14ac:dyDescent="0.3"/>
  <cols>
    <col min="1" max="1" width="28.33203125" bestFit="1" customWidth="1"/>
    <col min="2" max="2" width="28.33203125" customWidth="1"/>
    <col min="3" max="3" width="21.33203125" bestFit="1" customWidth="1"/>
    <col min="4" max="4" width="22.33203125" bestFit="1" customWidth="1"/>
    <col min="5" max="5" width="16.33203125" customWidth="1"/>
    <col min="6" max="6" width="11.33203125" customWidth="1"/>
    <col min="7" max="7" width="19.33203125" customWidth="1"/>
    <col min="10" max="10" width="55.5546875" customWidth="1"/>
    <col min="11" max="11" width="46.33203125" customWidth="1"/>
    <col min="12" max="12" width="43.33203125" customWidth="1"/>
    <col min="13" max="13" width="45" customWidth="1"/>
    <col min="14" max="14" width="22.5546875" customWidth="1"/>
    <col min="16" max="16" width="20.5546875" customWidth="1"/>
    <col min="18" max="18" width="13.5546875" customWidth="1"/>
  </cols>
  <sheetData>
    <row r="2" spans="1:20" ht="15" customHeight="1" thickBot="1" x14ac:dyDescent="0.35"/>
    <row r="3" spans="1:20" s="1" customFormat="1" x14ac:dyDescent="0.3">
      <c r="A3" s="25" t="s">
        <v>1113</v>
      </c>
      <c r="B3" s="25" t="s">
        <v>1122</v>
      </c>
      <c r="C3" s="25" t="s">
        <v>1118</v>
      </c>
      <c r="D3" s="25" t="s">
        <v>1120</v>
      </c>
      <c r="E3" s="25" t="s">
        <v>1139</v>
      </c>
      <c r="F3" s="25" t="s">
        <v>1128</v>
      </c>
      <c r="G3" s="39" t="s">
        <v>1140</v>
      </c>
      <c r="R3"/>
      <c r="T3"/>
    </row>
    <row r="4" spans="1:20" ht="116.85" customHeight="1" x14ac:dyDescent="0.3">
      <c r="A4" s="28" t="s">
        <v>639</v>
      </c>
      <c r="B4" s="22" t="s">
        <v>1141</v>
      </c>
      <c r="C4" s="28" t="s">
        <v>1142</v>
      </c>
      <c r="D4" s="22" t="s">
        <v>1143</v>
      </c>
      <c r="E4" s="127" t="s">
        <v>1144</v>
      </c>
      <c r="F4" s="32" t="s">
        <v>745</v>
      </c>
      <c r="G4" s="28"/>
    </row>
    <row r="5" spans="1:20" ht="116.85" customHeight="1" x14ac:dyDescent="0.3">
      <c r="A5" s="28" t="s">
        <v>36</v>
      </c>
      <c r="B5" s="22" t="s">
        <v>1141</v>
      </c>
      <c r="C5" s="28" t="s">
        <v>1142</v>
      </c>
      <c r="D5" s="22" t="s">
        <v>1143</v>
      </c>
      <c r="E5" s="127" t="s">
        <v>1144</v>
      </c>
      <c r="F5" s="32" t="s">
        <v>745</v>
      </c>
      <c r="G5" s="32"/>
    </row>
    <row r="6" spans="1:20" x14ac:dyDescent="0.3">
      <c r="G6" s="32"/>
    </row>
    <row r="9" spans="1:20" s="22" customFormat="1" ht="116.7" customHeight="1" x14ac:dyDescent="0.3">
      <c r="A9" s="28" t="s">
        <v>639</v>
      </c>
      <c r="B9" s="22" t="s">
        <v>1141</v>
      </c>
      <c r="C9" s="138">
        <v>45108</v>
      </c>
      <c r="D9" s="138">
        <v>44986</v>
      </c>
      <c r="E9" s="127" t="s">
        <v>1144</v>
      </c>
      <c r="F9" s="28" t="s">
        <v>752</v>
      </c>
      <c r="G9" s="128"/>
    </row>
    <row r="10" spans="1:20" s="22" customFormat="1" ht="116.7" customHeight="1" x14ac:dyDescent="0.3">
      <c r="A10" s="28" t="s">
        <v>36</v>
      </c>
      <c r="B10" s="22" t="s">
        <v>1141</v>
      </c>
      <c r="C10" s="138">
        <v>45108</v>
      </c>
      <c r="D10" s="138">
        <v>44986</v>
      </c>
      <c r="E10" s="127" t="s">
        <v>1144</v>
      </c>
      <c r="F10" s="28" t="s">
        <v>752</v>
      </c>
      <c r="G10" s="28"/>
    </row>
    <row r="11" spans="1:20" ht="116.85" customHeight="1" x14ac:dyDescent="0.3">
      <c r="A11" s="28" t="s">
        <v>639</v>
      </c>
      <c r="B11" s="22" t="s">
        <v>1141</v>
      </c>
      <c r="C11" s="138">
        <v>45108</v>
      </c>
      <c r="D11" s="138">
        <v>44896</v>
      </c>
      <c r="E11" s="127" t="s">
        <v>1144</v>
      </c>
      <c r="F11" s="32" t="s">
        <v>745</v>
      </c>
      <c r="G11" s="28"/>
    </row>
    <row r="12" spans="1:20" ht="116.85" customHeight="1" x14ac:dyDescent="0.3">
      <c r="A12" s="28" t="s">
        <v>36</v>
      </c>
      <c r="B12" s="22" t="s">
        <v>1141</v>
      </c>
      <c r="C12" s="138">
        <v>45108</v>
      </c>
      <c r="D12" s="138">
        <v>44896</v>
      </c>
      <c r="E12" s="127" t="s">
        <v>1144</v>
      </c>
      <c r="F12" s="32" t="s">
        <v>745</v>
      </c>
      <c r="G12" s="32"/>
    </row>
  </sheetData>
  <conditionalFormatting sqref="J9:M10">
    <cfRule type="expression" dxfId="4" priority="1">
      <formula>IF(AND($D9&lt;&gt;"Python",$D9&lt;&gt;""),TRUE)</formula>
    </cfRule>
  </conditionalFormatting>
  <dataValidations count="1">
    <dataValidation type="list" allowBlank="1" showInputMessage="1" showErrorMessage="1" sqref="Q9:Q10" xr:uid="{00000000-0002-0000-0C00-000000000000}">
      <formula1>grp_agg</formula1>
    </dataValidation>
  </dataValidations>
  <pageMargins left="0.7" right="0.7" top="0.75" bottom="0.75" header="0.3" footer="0.3"/>
  <pageSetup orientation="portrait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5">
    <tabColor rgb="FFFF0000"/>
  </sheetPr>
  <dimension ref="A2:T7"/>
  <sheetViews>
    <sheetView showGridLines="0" zoomScale="85" zoomScaleNormal="70" zoomScaleSheetLayoutView="396" workbookViewId="0">
      <pane ySplit="3" topLeftCell="A4" activePane="bottomLeft" state="frozen"/>
      <selection activeCell="G6" sqref="G6"/>
      <selection pane="bottomLeft" activeCell="B5" sqref="B5"/>
    </sheetView>
  </sheetViews>
  <sheetFormatPr defaultColWidth="8.5546875" defaultRowHeight="14.4" x14ac:dyDescent="0.3"/>
  <cols>
    <col min="1" max="1" width="28.33203125" bestFit="1" customWidth="1"/>
    <col min="2" max="2" width="28.33203125" customWidth="1"/>
    <col min="3" max="3" width="21.33203125" bestFit="1" customWidth="1"/>
    <col min="4" max="4" width="22.33203125" bestFit="1" customWidth="1"/>
    <col min="5" max="5" width="16.33203125" customWidth="1"/>
    <col min="6" max="6" width="11.33203125" customWidth="1"/>
    <col min="7" max="7" width="19.33203125" customWidth="1"/>
    <col min="10" max="10" width="55.5546875" customWidth="1"/>
    <col min="11" max="11" width="46.33203125" customWidth="1"/>
    <col min="12" max="12" width="43.33203125" customWidth="1"/>
    <col min="13" max="13" width="45" customWidth="1"/>
    <col min="14" max="14" width="22.5546875" customWidth="1"/>
    <col min="16" max="16" width="20.5546875" customWidth="1"/>
    <col min="18" max="18" width="13.5546875" customWidth="1"/>
  </cols>
  <sheetData>
    <row r="2" spans="1:20" ht="15" customHeight="1" thickBot="1" x14ac:dyDescent="0.35"/>
    <row r="3" spans="1:20" s="1" customFormat="1" x14ac:dyDescent="0.3">
      <c r="A3" s="25" t="s">
        <v>1113</v>
      </c>
      <c r="B3" s="25" t="s">
        <v>1122</v>
      </c>
      <c r="C3" s="25" t="s">
        <v>1118</v>
      </c>
      <c r="D3" s="25" t="s">
        <v>1120</v>
      </c>
      <c r="E3" s="25" t="s">
        <v>1139</v>
      </c>
      <c r="F3" s="25" t="s">
        <v>1128</v>
      </c>
      <c r="G3" s="39" t="s">
        <v>1140</v>
      </c>
      <c r="R3"/>
      <c r="T3"/>
    </row>
    <row r="4" spans="1:20" s="22" customFormat="1" ht="116.7" customHeight="1" x14ac:dyDescent="0.3">
      <c r="A4" s="28"/>
      <c r="C4" s="140"/>
      <c r="D4" s="140"/>
      <c r="E4" s="127"/>
      <c r="F4" s="28"/>
      <c r="G4" s="28"/>
    </row>
    <row r="5" spans="1:20" ht="116.85" customHeight="1" x14ac:dyDescent="0.3">
      <c r="A5" s="28"/>
      <c r="B5" s="22"/>
      <c r="D5" s="138"/>
      <c r="E5" s="127"/>
      <c r="F5" s="32"/>
      <c r="G5" s="28"/>
    </row>
    <row r="6" spans="1:20" ht="116.85" customHeight="1" x14ac:dyDescent="0.3">
      <c r="A6" s="28"/>
      <c r="B6" s="22"/>
      <c r="C6" s="138"/>
      <c r="D6" s="138"/>
      <c r="E6" s="127"/>
      <c r="F6" s="32"/>
      <c r="G6" s="32"/>
    </row>
    <row r="7" spans="1:20" x14ac:dyDescent="0.3">
      <c r="G7" s="32"/>
    </row>
  </sheetData>
  <conditionalFormatting sqref="J4:M4">
    <cfRule type="expression" dxfId="3" priority="1">
      <formula>IF(AND($D4&lt;&gt;"Python",$D4&lt;&gt;""),TRUE)</formula>
    </cfRule>
  </conditionalFormatting>
  <dataValidations count="1">
    <dataValidation type="list" allowBlank="1" showInputMessage="1" showErrorMessage="1" sqref="Q4" xr:uid="{00000000-0002-0000-0D00-000000000000}">
      <formula1>grp_agg</formula1>
    </dataValidation>
  </dataValidations>
  <pageMargins left="0.7" right="0.7" top="0.75" bottom="0.75" header="0.3" footer="0.3"/>
  <pageSetup orientation="portrait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0">
    <tabColor rgb="FFFF0000"/>
  </sheetPr>
  <dimension ref="A1:D2"/>
  <sheetViews>
    <sheetView workbookViewId="0">
      <selection activeCell="A2" sqref="A2:XFD2"/>
    </sheetView>
  </sheetViews>
  <sheetFormatPr defaultRowHeight="14.4" x14ac:dyDescent="0.3"/>
  <cols>
    <col min="1" max="4" width="46.21875" customWidth="1"/>
  </cols>
  <sheetData>
    <row r="1" spans="1:4" x14ac:dyDescent="0.3">
      <c r="A1" s="40" t="s">
        <v>1145</v>
      </c>
      <c r="B1" s="40" t="s">
        <v>1146</v>
      </c>
      <c r="C1" s="40" t="s">
        <v>1147</v>
      </c>
      <c r="D1" s="40" t="s">
        <v>1148</v>
      </c>
    </row>
    <row r="2" spans="1:4" s="23" customFormat="1" x14ac:dyDescent="0.3">
      <c r="A2" s="44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>
    <tabColor rgb="FF7030A0"/>
  </sheetPr>
  <dimension ref="A1:AN11"/>
  <sheetViews>
    <sheetView topLeftCell="S1" zoomScale="110" zoomScaleNormal="110" workbookViewId="0">
      <selection activeCell="AG3" sqref="AG3"/>
    </sheetView>
  </sheetViews>
  <sheetFormatPr defaultColWidth="8.5546875" defaultRowHeight="14.4" x14ac:dyDescent="0.3"/>
  <cols>
    <col min="1" max="2" width="12.33203125" bestFit="1" customWidth="1"/>
    <col min="3" max="3" width="10.33203125" bestFit="1" customWidth="1"/>
    <col min="4" max="4" width="2.5546875" customWidth="1"/>
    <col min="5" max="5" width="15.33203125" bestFit="1" customWidth="1"/>
    <col min="7" max="7" width="11.33203125" bestFit="1" customWidth="1"/>
    <col min="11" max="11" width="14.33203125" bestFit="1" customWidth="1"/>
    <col min="15" max="15" width="16.5546875" customWidth="1"/>
    <col min="19" max="19" width="25.5546875" bestFit="1" customWidth="1"/>
    <col min="21" max="21" width="19.33203125" bestFit="1" customWidth="1"/>
    <col min="23" max="23" width="12.33203125" bestFit="1" customWidth="1"/>
    <col min="25" max="25" width="50.33203125" bestFit="1" customWidth="1"/>
    <col min="26" max="26" width="64" customWidth="1"/>
    <col min="28" max="28" width="13.5546875" bestFit="1" customWidth="1"/>
    <col min="30" max="30" width="21.5546875" customWidth="1"/>
    <col min="33" max="33" width="23.6640625" bestFit="1" customWidth="1"/>
  </cols>
  <sheetData>
    <row r="1" spans="1:40" ht="15" customHeight="1" thickBot="1" x14ac:dyDescent="0.35">
      <c r="A1" s="194" t="s">
        <v>1149</v>
      </c>
      <c r="B1" s="195"/>
      <c r="C1" s="196"/>
      <c r="D1" s="1"/>
      <c r="E1" s="83" t="s">
        <v>1150</v>
      </c>
      <c r="G1" s="194" t="s">
        <v>1151</v>
      </c>
      <c r="H1" s="195"/>
      <c r="I1" s="196"/>
      <c r="K1" s="197" t="s">
        <v>1152</v>
      </c>
      <c r="L1" s="198"/>
      <c r="M1" s="198"/>
      <c r="O1" s="6" t="s">
        <v>1153</v>
      </c>
      <c r="Q1" s="6" t="s">
        <v>627</v>
      </c>
      <c r="S1" s="6" t="s">
        <v>1154</v>
      </c>
      <c r="U1" s="6" t="s">
        <v>1155</v>
      </c>
      <c r="W1" s="6" t="s">
        <v>1156</v>
      </c>
      <c r="Y1" s="84" t="s">
        <v>1157</v>
      </c>
      <c r="Z1" s="84" t="s">
        <v>1158</v>
      </c>
      <c r="AB1" s="20" t="s">
        <v>1159</v>
      </c>
      <c r="AD1" s="20" t="s">
        <v>1160</v>
      </c>
      <c r="AG1" s="84" t="s">
        <v>617</v>
      </c>
      <c r="AH1" t="s">
        <v>1161</v>
      </c>
      <c r="AI1" t="s">
        <v>1162</v>
      </c>
      <c r="AJ1" t="s">
        <v>1163</v>
      </c>
      <c r="AK1" t="s">
        <v>1164</v>
      </c>
      <c r="AL1" t="s">
        <v>1165</v>
      </c>
      <c r="AM1" t="s">
        <v>1166</v>
      </c>
      <c r="AN1" t="s">
        <v>1167</v>
      </c>
    </row>
    <row r="2" spans="1:40" ht="15" customHeight="1" thickBot="1" x14ac:dyDescent="0.35">
      <c r="A2" s="3" t="s">
        <v>1037</v>
      </c>
      <c r="B2" s="3" t="s">
        <v>1168</v>
      </c>
      <c r="C2" s="3" t="s">
        <v>1106</v>
      </c>
      <c r="E2" s="85" t="s">
        <v>9</v>
      </c>
      <c r="G2" s="3" t="s">
        <v>1037</v>
      </c>
      <c r="H2" s="3" t="s">
        <v>1168</v>
      </c>
      <c r="I2" s="3" t="s">
        <v>1106</v>
      </c>
      <c r="K2" s="3" t="s">
        <v>802</v>
      </c>
      <c r="L2" s="3" t="s">
        <v>1169</v>
      </c>
      <c r="M2" s="3" t="s">
        <v>805</v>
      </c>
      <c r="O2" s="3" t="s">
        <v>702</v>
      </c>
      <c r="Q2" s="4" t="s">
        <v>641</v>
      </c>
      <c r="S2" t="s">
        <v>1170</v>
      </c>
      <c r="U2" t="s">
        <v>814</v>
      </c>
      <c r="W2" s="74" t="s">
        <v>744</v>
      </c>
      <c r="Y2" t="s">
        <v>1171</v>
      </c>
      <c r="Z2" t="s">
        <v>1172</v>
      </c>
      <c r="AB2" t="s">
        <v>617</v>
      </c>
      <c r="AD2" s="44" t="s">
        <v>8</v>
      </c>
      <c r="AG2" t="s">
        <v>1173</v>
      </c>
      <c r="AH2" t="s">
        <v>1161</v>
      </c>
      <c r="AI2" t="s">
        <v>1174</v>
      </c>
    </row>
    <row r="3" spans="1:40" ht="15" customHeight="1" thickBot="1" x14ac:dyDescent="0.35">
      <c r="A3" s="85" t="s">
        <v>638</v>
      </c>
      <c r="B3" s="85" t="s">
        <v>638</v>
      </c>
      <c r="C3" s="85" t="s">
        <v>638</v>
      </c>
      <c r="D3" s="86"/>
      <c r="E3" s="85" t="s">
        <v>1175</v>
      </c>
      <c r="G3" s="85" t="s">
        <v>636</v>
      </c>
      <c r="H3" s="85" t="s">
        <v>811</v>
      </c>
      <c r="I3" s="85" t="s">
        <v>736</v>
      </c>
      <c r="K3" s="3" t="s">
        <v>813</v>
      </c>
      <c r="L3" s="4" t="s">
        <v>1176</v>
      </c>
      <c r="M3" s="2" t="s">
        <v>1177</v>
      </c>
      <c r="O3" s="3" t="s">
        <v>1178</v>
      </c>
      <c r="Q3" s="4" t="s">
        <v>1179</v>
      </c>
      <c r="S3" t="s">
        <v>645</v>
      </c>
      <c r="U3" t="s">
        <v>1180</v>
      </c>
      <c r="Y3" t="s">
        <v>1181</v>
      </c>
      <c r="Z3" t="s">
        <v>1182</v>
      </c>
      <c r="AB3" t="s">
        <v>618</v>
      </c>
      <c r="AD3" s="44" t="s">
        <v>1183</v>
      </c>
      <c r="AG3" t="s">
        <v>1184</v>
      </c>
      <c r="AH3" t="s">
        <v>1161</v>
      </c>
      <c r="AI3" t="s">
        <v>1185</v>
      </c>
      <c r="AJ3" t="s">
        <v>1186</v>
      </c>
      <c r="AK3" t="s">
        <v>1187</v>
      </c>
      <c r="AL3" t="s">
        <v>1188</v>
      </c>
      <c r="AM3" t="s">
        <v>1189</v>
      </c>
      <c r="AN3" t="s">
        <v>1130</v>
      </c>
    </row>
    <row r="4" spans="1:40" ht="15" customHeight="1" thickBot="1" x14ac:dyDescent="0.35">
      <c r="A4" s="85" t="s">
        <v>1190</v>
      </c>
      <c r="B4" s="85" t="s">
        <v>804</v>
      </c>
      <c r="C4" s="85" t="s">
        <v>1190</v>
      </c>
      <c r="D4" s="86"/>
      <c r="E4" s="85" t="s">
        <v>1191</v>
      </c>
      <c r="G4" s="2" t="s">
        <v>1192</v>
      </c>
      <c r="H4" s="85" t="s">
        <v>1193</v>
      </c>
      <c r="K4" s="4" t="s">
        <v>817</v>
      </c>
      <c r="L4" s="4" t="s">
        <v>1194</v>
      </c>
      <c r="M4" s="4" t="s">
        <v>1195</v>
      </c>
      <c r="O4" s="2" t="s">
        <v>1196</v>
      </c>
      <c r="Q4" s="4" t="s">
        <v>1197</v>
      </c>
      <c r="S4" t="s">
        <v>1198</v>
      </c>
      <c r="U4" t="s">
        <v>1199</v>
      </c>
      <c r="Y4" t="s">
        <v>1200</v>
      </c>
      <c r="Z4" t="s">
        <v>1201</v>
      </c>
      <c r="AD4" s="44" t="s">
        <v>1202</v>
      </c>
      <c r="AG4" t="s">
        <v>1203</v>
      </c>
    </row>
    <row r="5" spans="1:40" ht="15" customHeight="1" thickBot="1" x14ac:dyDescent="0.35">
      <c r="A5" s="85" t="s">
        <v>1204</v>
      </c>
      <c r="B5" s="85"/>
      <c r="C5" s="2" t="s">
        <v>1205</v>
      </c>
      <c r="D5" s="86"/>
      <c r="E5" s="8" t="s">
        <v>1206</v>
      </c>
      <c r="G5" s="2" t="s">
        <v>1207</v>
      </c>
      <c r="H5" s="85"/>
      <c r="I5" s="85"/>
      <c r="L5" s="4" t="s">
        <v>1208</v>
      </c>
      <c r="M5" s="4" t="s">
        <v>1209</v>
      </c>
      <c r="O5" s="2" t="s">
        <v>1210</v>
      </c>
      <c r="Q5" s="2" t="s">
        <v>1211</v>
      </c>
      <c r="S5" t="s">
        <v>1212</v>
      </c>
      <c r="Y5" t="s">
        <v>1213</v>
      </c>
      <c r="Z5" t="s">
        <v>1214</v>
      </c>
      <c r="AD5" s="44" t="s">
        <v>1215</v>
      </c>
      <c r="AG5" t="s">
        <v>1216</v>
      </c>
    </row>
    <row r="6" spans="1:40" x14ac:dyDescent="0.3">
      <c r="A6" s="2"/>
      <c r="B6" s="2"/>
      <c r="C6" s="2"/>
      <c r="G6" s="2"/>
      <c r="M6" s="4" t="s">
        <v>1217</v>
      </c>
      <c r="O6" s="2" t="s">
        <v>644</v>
      </c>
      <c r="Q6" s="2" t="s">
        <v>1218</v>
      </c>
      <c r="S6" t="s">
        <v>708</v>
      </c>
      <c r="Y6" t="s">
        <v>1219</v>
      </c>
      <c r="Z6" t="s">
        <v>1220</v>
      </c>
      <c r="AD6" s="44" t="s">
        <v>1221</v>
      </c>
      <c r="AG6" t="s">
        <v>1222</v>
      </c>
    </row>
    <row r="7" spans="1:40" x14ac:dyDescent="0.3">
      <c r="O7" s="2" t="s">
        <v>696</v>
      </c>
      <c r="Y7" t="s">
        <v>1223</v>
      </c>
      <c r="Z7" t="s">
        <v>1224</v>
      </c>
      <c r="AD7" t="s">
        <v>1225</v>
      </c>
      <c r="AG7" t="s">
        <v>1226</v>
      </c>
    </row>
    <row r="8" spans="1:40" x14ac:dyDescent="0.3">
      <c r="O8" s="2" t="s">
        <v>1227</v>
      </c>
      <c r="Y8" t="s">
        <v>1228</v>
      </c>
      <c r="Z8" t="s">
        <v>1229</v>
      </c>
      <c r="AG8" t="s">
        <v>1230</v>
      </c>
    </row>
    <row r="9" spans="1:40" x14ac:dyDescent="0.3">
      <c r="O9" s="2" t="s">
        <v>1231</v>
      </c>
      <c r="Y9" t="s">
        <v>1232</v>
      </c>
      <c r="Z9" t="s">
        <v>1233</v>
      </c>
      <c r="AG9" t="s">
        <v>1234</v>
      </c>
    </row>
    <row r="10" spans="1:40" x14ac:dyDescent="0.3">
      <c r="O10" s="3" t="s">
        <v>677</v>
      </c>
      <c r="AG10" t="s">
        <v>1235</v>
      </c>
    </row>
    <row r="11" spans="1:40" x14ac:dyDescent="0.3">
      <c r="O11" s="2" t="s">
        <v>1236</v>
      </c>
      <c r="AG11" t="s">
        <v>1237</v>
      </c>
    </row>
  </sheetData>
  <mergeCells count="3">
    <mergeCell ref="A1:C1"/>
    <mergeCell ref="G1:I1"/>
    <mergeCell ref="K1:M1"/>
  </mergeCells>
  <conditionalFormatting sqref="W2">
    <cfRule type="expression" dxfId="2" priority="3">
      <formula>IF(AND($F2&lt;&gt;"Python",$F2&lt;&gt;""),TRUE)</formula>
    </cfRule>
  </conditionalFormatting>
  <pageMargins left="0.7" right="0.7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>
    <tabColor theme="5"/>
  </sheetPr>
  <dimension ref="A1:H1"/>
  <sheetViews>
    <sheetView workbookViewId="0"/>
  </sheetViews>
  <sheetFormatPr defaultRowHeight="14.4" x14ac:dyDescent="0.3"/>
  <sheetData>
    <row r="1" spans="1:8" ht="24" customHeight="1" x14ac:dyDescent="0.3">
      <c r="A1" s="64" t="s">
        <v>1238</v>
      </c>
      <c r="B1" s="64" t="s">
        <v>542</v>
      </c>
      <c r="C1" s="64" t="s">
        <v>1239</v>
      </c>
      <c r="D1" s="64" t="s">
        <v>1240</v>
      </c>
      <c r="E1" s="64" t="s">
        <v>1241</v>
      </c>
      <c r="F1" s="64" t="s">
        <v>1242</v>
      </c>
      <c r="G1" s="64" t="s">
        <v>1243</v>
      </c>
      <c r="H1" s="64" t="s">
        <v>1244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4">
    <tabColor theme="5"/>
  </sheetPr>
  <dimension ref="A1:S669"/>
  <sheetViews>
    <sheetView showGridLines="0" zoomScale="53" zoomScaleNormal="60" workbookViewId="0">
      <pane ySplit="1" topLeftCell="A2" activePane="bottomLeft" state="frozen"/>
      <selection activeCell="H5" sqref="H5"/>
      <selection pane="bottomLeft" activeCell="A12" sqref="A12:XFD25"/>
    </sheetView>
  </sheetViews>
  <sheetFormatPr defaultColWidth="8.5546875" defaultRowHeight="14.4" x14ac:dyDescent="0.3"/>
  <cols>
    <col min="1" max="1" width="11.44140625" customWidth="1"/>
    <col min="2" max="2" width="14" customWidth="1"/>
    <col min="3" max="3" width="45.44140625" customWidth="1"/>
    <col min="4" max="4" width="35.109375" customWidth="1"/>
    <col min="5" max="5" width="39" customWidth="1"/>
    <col min="6" max="6" width="12.109375" customWidth="1"/>
    <col min="7" max="7" width="8.33203125" customWidth="1"/>
    <col min="8" max="8" width="15.33203125" style="27" customWidth="1"/>
    <col min="9" max="9" width="93.21875" customWidth="1"/>
    <col min="10" max="10" width="10.44140625" style="27" customWidth="1"/>
    <col min="11" max="11" width="12.21875" style="27" customWidth="1"/>
    <col min="12" max="12" width="31" customWidth="1"/>
    <col min="13" max="13" width="49.21875" customWidth="1"/>
    <col min="14" max="14" width="41.5546875" bestFit="1" customWidth="1"/>
    <col min="15" max="15" width="13.33203125" customWidth="1"/>
    <col min="16" max="16" width="13.5546875" customWidth="1"/>
    <col min="17" max="17" width="19.5546875" bestFit="1" customWidth="1"/>
    <col min="18" max="18" width="38.33203125" customWidth="1"/>
    <col min="19" max="19" width="31.5546875" customWidth="1"/>
    <col min="20" max="24" width="8.5546875" customWidth="1"/>
  </cols>
  <sheetData>
    <row r="1" spans="1:19" s="27" customFormat="1" ht="23.1" customHeight="1" x14ac:dyDescent="0.3">
      <c r="A1" s="104" t="s">
        <v>549</v>
      </c>
      <c r="B1" s="81" t="s">
        <v>9</v>
      </c>
      <c r="C1" s="121" t="s">
        <v>1245</v>
      </c>
      <c r="D1" s="30" t="s">
        <v>1158</v>
      </c>
      <c r="E1" s="40" t="s">
        <v>1157</v>
      </c>
      <c r="F1" s="40" t="s">
        <v>542</v>
      </c>
      <c r="G1" s="40" t="s">
        <v>1246</v>
      </c>
      <c r="H1" s="40" t="s">
        <v>1247</v>
      </c>
      <c r="I1" s="110" t="s">
        <v>1248</v>
      </c>
      <c r="J1" s="40" t="s">
        <v>1249</v>
      </c>
      <c r="K1" s="123" t="s">
        <v>1250</v>
      </c>
      <c r="L1" s="40" t="s">
        <v>1251</v>
      </c>
      <c r="M1" s="40" t="s">
        <v>1252</v>
      </c>
      <c r="N1" s="40" t="s">
        <v>1253</v>
      </c>
      <c r="O1" s="40" t="s">
        <v>1254</v>
      </c>
      <c r="P1" s="40" t="s">
        <v>1255</v>
      </c>
      <c r="Q1" s="40" t="s">
        <v>1256</v>
      </c>
      <c r="R1" s="41" t="s">
        <v>1257</v>
      </c>
      <c r="S1" s="41" t="s">
        <v>1258</v>
      </c>
    </row>
    <row r="2" spans="1:19" x14ac:dyDescent="0.3">
      <c r="A2" t="s">
        <v>9</v>
      </c>
      <c r="B2" t="s">
        <v>1259</v>
      </c>
      <c r="C2" t="s">
        <v>1260</v>
      </c>
      <c r="D2" t="s">
        <v>1261</v>
      </c>
      <c r="E2" t="s">
        <v>1261</v>
      </c>
      <c r="F2" t="s">
        <v>1262</v>
      </c>
      <c r="I2" t="s">
        <v>1263</v>
      </c>
      <c r="J2">
        <v>0</v>
      </c>
      <c r="K2" s="27" t="s">
        <v>1264</v>
      </c>
      <c r="L2" t="s">
        <v>1265</v>
      </c>
      <c r="M2" t="s">
        <v>1266</v>
      </c>
    </row>
    <row r="3" spans="1:19" x14ac:dyDescent="0.3">
      <c r="A3" t="s">
        <v>9</v>
      </c>
      <c r="B3" t="s">
        <v>1259</v>
      </c>
      <c r="C3" t="s">
        <v>1267</v>
      </c>
      <c r="D3" t="s">
        <v>1261</v>
      </c>
      <c r="E3" t="s">
        <v>1261</v>
      </c>
      <c r="F3" t="s">
        <v>1262</v>
      </c>
      <c r="I3" t="s">
        <v>1263</v>
      </c>
      <c r="J3">
        <v>0</v>
      </c>
      <c r="K3" s="27" t="s">
        <v>1268</v>
      </c>
      <c r="L3" t="s">
        <v>1265</v>
      </c>
      <c r="M3" t="s">
        <v>1266</v>
      </c>
    </row>
    <row r="4" spans="1:19" x14ac:dyDescent="0.3">
      <c r="A4" t="s">
        <v>9</v>
      </c>
      <c r="B4" t="s">
        <v>1259</v>
      </c>
      <c r="C4" t="s">
        <v>125</v>
      </c>
      <c r="D4" t="s">
        <v>1261</v>
      </c>
      <c r="E4" t="s">
        <v>1261</v>
      </c>
      <c r="F4" t="s">
        <v>1262</v>
      </c>
      <c r="I4" t="s">
        <v>1269</v>
      </c>
      <c r="J4">
        <v>0</v>
      </c>
      <c r="K4" s="27" t="s">
        <v>1270</v>
      </c>
      <c r="L4" t="s">
        <v>1271</v>
      </c>
      <c r="M4" t="s">
        <v>1266</v>
      </c>
    </row>
    <row r="5" spans="1:19" x14ac:dyDescent="0.3">
      <c r="A5" t="s">
        <v>9</v>
      </c>
      <c r="B5" t="s">
        <v>1259</v>
      </c>
      <c r="C5" t="s">
        <v>1272</v>
      </c>
      <c r="D5" t="s">
        <v>1261</v>
      </c>
      <c r="E5" t="s">
        <v>1261</v>
      </c>
      <c r="F5" t="s">
        <v>1262</v>
      </c>
      <c r="I5" t="s">
        <v>1273</v>
      </c>
      <c r="K5" s="27" t="s">
        <v>1274</v>
      </c>
      <c r="L5" t="s">
        <v>1271</v>
      </c>
      <c r="M5" t="s">
        <v>1266</v>
      </c>
    </row>
    <row r="6" spans="1:19" x14ac:dyDescent="0.3">
      <c r="A6" t="s">
        <v>9</v>
      </c>
      <c r="B6" t="s">
        <v>1259</v>
      </c>
      <c r="C6" t="s">
        <v>1275</v>
      </c>
      <c r="D6" t="s">
        <v>1261</v>
      </c>
      <c r="E6" t="s">
        <v>1261</v>
      </c>
      <c r="F6" t="s">
        <v>1262</v>
      </c>
      <c r="I6" t="s">
        <v>1276</v>
      </c>
      <c r="K6" s="168" t="s">
        <v>1277</v>
      </c>
      <c r="L6" t="s">
        <v>1271</v>
      </c>
      <c r="M6" t="s">
        <v>1266</v>
      </c>
    </row>
    <row r="7" spans="1:19" x14ac:dyDescent="0.3">
      <c r="A7" t="s">
        <v>9</v>
      </c>
      <c r="B7" t="s">
        <v>1259</v>
      </c>
      <c r="C7" t="s">
        <v>1278</v>
      </c>
      <c r="D7" t="s">
        <v>1261</v>
      </c>
      <c r="E7" t="s">
        <v>1261</v>
      </c>
      <c r="F7" t="s">
        <v>1262</v>
      </c>
      <c r="I7" t="s">
        <v>1279</v>
      </c>
      <c r="J7">
        <v>0</v>
      </c>
      <c r="K7" s="27" t="s">
        <v>1280</v>
      </c>
      <c r="L7" t="s">
        <v>1271</v>
      </c>
      <c r="M7" t="s">
        <v>1266</v>
      </c>
    </row>
    <row r="8" spans="1:19" x14ac:dyDescent="0.3">
      <c r="A8" t="s">
        <v>9</v>
      </c>
      <c r="B8" t="s">
        <v>1259</v>
      </c>
      <c r="C8" t="s">
        <v>1281</v>
      </c>
      <c r="D8" t="s">
        <v>1261</v>
      </c>
      <c r="E8" t="s">
        <v>1261</v>
      </c>
      <c r="F8" t="s">
        <v>1262</v>
      </c>
      <c r="I8" t="s">
        <v>1282</v>
      </c>
      <c r="J8">
        <v>0</v>
      </c>
      <c r="K8" s="27" t="s">
        <v>1283</v>
      </c>
      <c r="L8" t="s">
        <v>1271</v>
      </c>
      <c r="M8" t="s">
        <v>1266</v>
      </c>
    </row>
    <row r="12" spans="1:19" x14ac:dyDescent="0.3">
      <c r="A12" t="s">
        <v>9</v>
      </c>
      <c r="B12" t="s">
        <v>1259</v>
      </c>
      <c r="C12" t="s">
        <v>42</v>
      </c>
      <c r="D12" t="s">
        <v>1284</v>
      </c>
      <c r="E12" t="s">
        <v>1284</v>
      </c>
      <c r="F12" t="s">
        <v>1285</v>
      </c>
      <c r="G12">
        <v>23</v>
      </c>
      <c r="I12" t="s">
        <v>1286</v>
      </c>
      <c r="J12">
        <v>9</v>
      </c>
      <c r="L12" t="s">
        <v>1287</v>
      </c>
      <c r="M12" t="s">
        <v>1288</v>
      </c>
      <c r="P12" t="s">
        <v>1289</v>
      </c>
      <c r="Q12" t="s">
        <v>36</v>
      </c>
    </row>
    <row r="13" spans="1:19" x14ac:dyDescent="0.3">
      <c r="A13" t="s">
        <v>9</v>
      </c>
      <c r="B13" t="s">
        <v>1259</v>
      </c>
      <c r="C13" t="s">
        <v>1290</v>
      </c>
      <c r="D13" t="s">
        <v>1284</v>
      </c>
      <c r="E13" t="s">
        <v>1284</v>
      </c>
      <c r="F13" t="s">
        <v>1291</v>
      </c>
      <c r="G13">
        <v>29</v>
      </c>
      <c r="I13" t="s">
        <v>1286</v>
      </c>
      <c r="J13">
        <v>9</v>
      </c>
      <c r="L13" t="s">
        <v>1287</v>
      </c>
      <c r="M13" t="s">
        <v>1288</v>
      </c>
      <c r="P13" t="s">
        <v>1289</v>
      </c>
      <c r="Q13" t="s">
        <v>36</v>
      </c>
    </row>
    <row r="14" spans="1:19" x14ac:dyDescent="0.3">
      <c r="A14" t="s">
        <v>9</v>
      </c>
      <c r="B14" t="s">
        <v>1259</v>
      </c>
      <c r="C14" t="s">
        <v>1292</v>
      </c>
      <c r="D14" t="s">
        <v>1284</v>
      </c>
      <c r="E14" t="s">
        <v>1284</v>
      </c>
      <c r="F14" t="s">
        <v>1293</v>
      </c>
      <c r="G14">
        <v>17</v>
      </c>
      <c r="I14" t="s">
        <v>1286</v>
      </c>
      <c r="J14">
        <v>9</v>
      </c>
      <c r="L14" t="s">
        <v>1287</v>
      </c>
      <c r="M14" t="s">
        <v>1288</v>
      </c>
      <c r="P14" t="s">
        <v>1289</v>
      </c>
      <c r="Q14" t="s">
        <v>36</v>
      </c>
    </row>
    <row r="15" spans="1:19" x14ac:dyDescent="0.3">
      <c r="A15" t="s">
        <v>9</v>
      </c>
      <c r="B15" t="s">
        <v>1259</v>
      </c>
      <c r="C15" t="s">
        <v>1294</v>
      </c>
      <c r="D15" t="s">
        <v>1284</v>
      </c>
      <c r="E15" t="s">
        <v>1284</v>
      </c>
      <c r="F15" t="s">
        <v>1295</v>
      </c>
      <c r="G15">
        <v>34</v>
      </c>
      <c r="I15" t="s">
        <v>1286</v>
      </c>
      <c r="J15">
        <v>9</v>
      </c>
      <c r="L15" t="s">
        <v>1287</v>
      </c>
      <c r="M15" t="s">
        <v>1296</v>
      </c>
      <c r="P15" t="s">
        <v>487</v>
      </c>
      <c r="Q15" t="s">
        <v>36</v>
      </c>
    </row>
    <row r="16" spans="1:19" x14ac:dyDescent="0.3">
      <c r="A16" t="s">
        <v>9</v>
      </c>
      <c r="B16" t="s">
        <v>1259</v>
      </c>
      <c r="C16" t="s">
        <v>1297</v>
      </c>
      <c r="D16" t="s">
        <v>1284</v>
      </c>
      <c r="E16" t="s">
        <v>1284</v>
      </c>
      <c r="F16" t="s">
        <v>1298</v>
      </c>
      <c r="G16">
        <v>16</v>
      </c>
      <c r="I16" t="s">
        <v>1286</v>
      </c>
      <c r="J16">
        <v>9</v>
      </c>
      <c r="L16" t="s">
        <v>1287</v>
      </c>
      <c r="M16" t="s">
        <v>1296</v>
      </c>
      <c r="P16" t="s">
        <v>487</v>
      </c>
      <c r="Q16" t="s">
        <v>36</v>
      </c>
    </row>
    <row r="17" spans="1:17" x14ac:dyDescent="0.3">
      <c r="A17" t="s">
        <v>9</v>
      </c>
      <c r="B17" t="s">
        <v>1259</v>
      </c>
      <c r="C17" t="s">
        <v>1299</v>
      </c>
      <c r="D17" t="s">
        <v>1284</v>
      </c>
      <c r="E17" t="s">
        <v>1284</v>
      </c>
      <c r="F17" t="s">
        <v>1300</v>
      </c>
      <c r="G17">
        <v>23</v>
      </c>
      <c r="I17" t="s">
        <v>1286</v>
      </c>
      <c r="J17" s="27">
        <v>9</v>
      </c>
      <c r="L17" t="s">
        <v>1287</v>
      </c>
      <c r="M17" t="s">
        <v>1288</v>
      </c>
      <c r="P17" t="s">
        <v>1289</v>
      </c>
      <c r="Q17" t="s">
        <v>36</v>
      </c>
    </row>
    <row r="18" spans="1:17" x14ac:dyDescent="0.3">
      <c r="A18" t="s">
        <v>9</v>
      </c>
      <c r="B18" t="s">
        <v>1259</v>
      </c>
      <c r="C18" t="s">
        <v>1301</v>
      </c>
      <c r="D18" t="s">
        <v>1284</v>
      </c>
      <c r="E18" t="s">
        <v>1284</v>
      </c>
      <c r="F18" t="s">
        <v>1302</v>
      </c>
      <c r="G18">
        <v>35</v>
      </c>
      <c r="I18" t="s">
        <v>1286</v>
      </c>
      <c r="J18" s="27">
        <v>9</v>
      </c>
      <c r="L18" t="s">
        <v>1287</v>
      </c>
      <c r="M18" t="s">
        <v>1288</v>
      </c>
      <c r="P18" t="s">
        <v>1289</v>
      </c>
      <c r="Q18" t="s">
        <v>36</v>
      </c>
    </row>
    <row r="19" spans="1:17" x14ac:dyDescent="0.3">
      <c r="A19" t="s">
        <v>9</v>
      </c>
      <c r="B19" t="s">
        <v>1259</v>
      </c>
      <c r="C19" t="s">
        <v>1303</v>
      </c>
      <c r="D19" t="s">
        <v>1284</v>
      </c>
      <c r="E19" t="s">
        <v>1284</v>
      </c>
      <c r="F19" t="s">
        <v>1304</v>
      </c>
      <c r="G19">
        <v>23</v>
      </c>
      <c r="I19" t="s">
        <v>1286</v>
      </c>
      <c r="J19" s="27">
        <v>9</v>
      </c>
      <c r="L19" t="s">
        <v>1287</v>
      </c>
      <c r="M19" t="s">
        <v>1288</v>
      </c>
      <c r="P19" t="s">
        <v>1289</v>
      </c>
      <c r="Q19" t="s">
        <v>36</v>
      </c>
    </row>
    <row r="20" spans="1:17" x14ac:dyDescent="0.3">
      <c r="A20" t="s">
        <v>9</v>
      </c>
      <c r="B20" t="s">
        <v>1259</v>
      </c>
      <c r="C20" t="s">
        <v>1305</v>
      </c>
      <c r="D20" t="s">
        <v>1284</v>
      </c>
      <c r="E20" t="s">
        <v>1284</v>
      </c>
      <c r="F20" t="s">
        <v>1306</v>
      </c>
      <c r="G20">
        <v>28</v>
      </c>
      <c r="I20" t="s">
        <v>1286</v>
      </c>
      <c r="J20" s="27">
        <v>9</v>
      </c>
      <c r="L20" t="s">
        <v>1287</v>
      </c>
      <c r="M20" t="s">
        <v>1288</v>
      </c>
      <c r="P20" t="s">
        <v>1289</v>
      </c>
      <c r="Q20" t="s">
        <v>36</v>
      </c>
    </row>
    <row r="21" spans="1:17" x14ac:dyDescent="0.3">
      <c r="A21" t="s">
        <v>9</v>
      </c>
      <c r="B21" t="s">
        <v>1259</v>
      </c>
      <c r="C21" t="s">
        <v>1307</v>
      </c>
      <c r="D21" t="s">
        <v>1284</v>
      </c>
      <c r="E21" t="s">
        <v>1284</v>
      </c>
      <c r="F21" t="s">
        <v>1308</v>
      </c>
      <c r="G21">
        <v>20</v>
      </c>
      <c r="I21" t="s">
        <v>1286</v>
      </c>
      <c r="J21">
        <v>9</v>
      </c>
      <c r="L21" t="s">
        <v>1287</v>
      </c>
      <c r="M21" t="s">
        <v>1288</v>
      </c>
      <c r="P21" t="s">
        <v>1289</v>
      </c>
      <c r="Q21" t="s">
        <v>36</v>
      </c>
    </row>
    <row r="22" spans="1:17" x14ac:dyDescent="0.3">
      <c r="A22" t="s">
        <v>9</v>
      </c>
      <c r="B22" t="s">
        <v>1259</v>
      </c>
      <c r="C22" t="s">
        <v>1309</v>
      </c>
      <c r="D22" t="s">
        <v>1284</v>
      </c>
      <c r="E22" t="s">
        <v>1284</v>
      </c>
      <c r="F22" t="s">
        <v>1310</v>
      </c>
      <c r="G22">
        <v>17</v>
      </c>
      <c r="I22" t="s">
        <v>1286</v>
      </c>
      <c r="J22" s="27">
        <v>9</v>
      </c>
      <c r="L22" t="s">
        <v>1287</v>
      </c>
      <c r="M22" t="s">
        <v>1288</v>
      </c>
      <c r="P22" t="s">
        <v>1289</v>
      </c>
      <c r="Q22" t="s">
        <v>36</v>
      </c>
    </row>
    <row r="23" spans="1:17" x14ac:dyDescent="0.3">
      <c r="A23" t="s">
        <v>9</v>
      </c>
      <c r="B23" t="s">
        <v>1259</v>
      </c>
      <c r="C23" t="s">
        <v>1311</v>
      </c>
      <c r="D23" t="s">
        <v>1284</v>
      </c>
      <c r="E23" t="s">
        <v>1284</v>
      </c>
      <c r="F23" t="s">
        <v>1312</v>
      </c>
      <c r="G23">
        <v>20</v>
      </c>
      <c r="I23" t="s">
        <v>1286</v>
      </c>
      <c r="J23" s="27">
        <v>9</v>
      </c>
      <c r="L23" t="s">
        <v>1287</v>
      </c>
      <c r="M23" t="s">
        <v>1288</v>
      </c>
      <c r="P23" t="s">
        <v>1289</v>
      </c>
      <c r="Q23" t="s">
        <v>36</v>
      </c>
    </row>
    <row r="24" spans="1:17" x14ac:dyDescent="0.3">
      <c r="A24" t="s">
        <v>9</v>
      </c>
      <c r="B24" t="s">
        <v>1259</v>
      </c>
      <c r="C24" t="s">
        <v>1313</v>
      </c>
      <c r="D24" t="s">
        <v>1284</v>
      </c>
      <c r="E24" t="s">
        <v>1284</v>
      </c>
      <c r="F24" t="s">
        <v>1314</v>
      </c>
      <c r="G24">
        <v>23</v>
      </c>
      <c r="I24" t="s">
        <v>1286</v>
      </c>
      <c r="J24" s="27">
        <v>9</v>
      </c>
      <c r="L24" t="s">
        <v>1287</v>
      </c>
      <c r="M24" t="s">
        <v>1288</v>
      </c>
      <c r="P24" t="s">
        <v>1289</v>
      </c>
      <c r="Q24" t="s">
        <v>36</v>
      </c>
    </row>
    <row r="25" spans="1:17" x14ac:dyDescent="0.3">
      <c r="A25" t="s">
        <v>9</v>
      </c>
      <c r="B25" t="s">
        <v>1259</v>
      </c>
      <c r="C25" t="s">
        <v>1315</v>
      </c>
      <c r="D25" t="s">
        <v>1284</v>
      </c>
      <c r="E25" t="s">
        <v>1284</v>
      </c>
      <c r="F25" t="s">
        <v>1316</v>
      </c>
      <c r="G25">
        <v>20</v>
      </c>
      <c r="I25" t="s">
        <v>1286</v>
      </c>
      <c r="J25" s="27">
        <v>9</v>
      </c>
      <c r="L25" t="s">
        <v>1287</v>
      </c>
      <c r="M25" t="s">
        <v>1288</v>
      </c>
      <c r="P25" t="s">
        <v>1289</v>
      </c>
      <c r="Q25" t="s">
        <v>36</v>
      </c>
    </row>
    <row r="277" spans="6:13" x14ac:dyDescent="0.3">
      <c r="K277" s="131"/>
    </row>
    <row r="278" spans="6:13" x14ac:dyDescent="0.3">
      <c r="F278" s="21"/>
      <c r="G278" s="111"/>
      <c r="H278" s="111"/>
      <c r="I278" s="111"/>
      <c r="J278" s="112"/>
      <c r="K278" s="124"/>
      <c r="L278" s="111"/>
      <c r="M278" s="111"/>
    </row>
    <row r="387" spans="9:9" x14ac:dyDescent="0.3">
      <c r="I387" s="129"/>
    </row>
    <row r="388" spans="9:9" x14ac:dyDescent="0.3">
      <c r="I388" s="129"/>
    </row>
    <row r="468" spans="6:13" ht="13.95" customHeight="1" x14ac:dyDescent="0.3"/>
    <row r="470" spans="6:13" x14ac:dyDescent="0.3">
      <c r="I470" s="129"/>
    </row>
    <row r="471" spans="6:13" x14ac:dyDescent="0.3">
      <c r="I471" s="129"/>
    </row>
    <row r="474" spans="6:13" x14ac:dyDescent="0.3">
      <c r="F474" s="21"/>
      <c r="G474" s="111"/>
      <c r="H474" s="111"/>
      <c r="I474" s="111"/>
      <c r="J474" s="112"/>
      <c r="K474" s="124"/>
      <c r="L474" s="111"/>
      <c r="M474" s="111"/>
    </row>
    <row r="493" spans="1:11" s="132" customFormat="1" x14ac:dyDescent="0.3">
      <c r="A493" s="133"/>
      <c r="H493" s="134"/>
      <c r="J493" s="135"/>
      <c r="K493" s="134"/>
    </row>
    <row r="494" spans="1:11" s="132" customFormat="1" x14ac:dyDescent="0.3">
      <c r="A494" s="133"/>
      <c r="H494" s="134"/>
      <c r="J494" s="135"/>
      <c r="K494" s="134"/>
    </row>
    <row r="495" spans="1:11" s="132" customFormat="1" x14ac:dyDescent="0.3">
      <c r="A495" s="133"/>
      <c r="K495" s="134"/>
    </row>
    <row r="496" spans="1:11" s="132" customFormat="1" x14ac:dyDescent="0.3">
      <c r="A496" s="133"/>
      <c r="K496" s="134"/>
    </row>
    <row r="497" spans="1:17" x14ac:dyDescent="0.3">
      <c r="A497" s="133"/>
      <c r="C497" s="132"/>
      <c r="D497" s="132"/>
      <c r="E497" s="132"/>
      <c r="F497" s="132"/>
      <c r="L497" s="132"/>
      <c r="M497" s="132"/>
      <c r="P497" s="132"/>
      <c r="Q497" s="132"/>
    </row>
    <row r="498" spans="1:17" x14ac:dyDescent="0.3">
      <c r="A498" s="133"/>
      <c r="C498" s="132"/>
      <c r="D498" s="132"/>
      <c r="E498" s="132"/>
      <c r="F498" s="132"/>
      <c r="L498" s="132"/>
      <c r="M498" s="132"/>
      <c r="P498" s="132"/>
      <c r="Q498" s="132"/>
    </row>
    <row r="499" spans="1:17" x14ac:dyDescent="0.3">
      <c r="A499" s="133"/>
      <c r="C499" s="132"/>
      <c r="D499" s="132"/>
      <c r="E499" s="132"/>
      <c r="F499" s="132"/>
      <c r="L499" s="132"/>
      <c r="M499" s="132"/>
      <c r="P499" s="132"/>
      <c r="Q499" s="132"/>
    </row>
    <row r="500" spans="1:17" x14ac:dyDescent="0.3">
      <c r="A500" s="133"/>
      <c r="C500" s="132"/>
      <c r="D500" s="132"/>
      <c r="E500" s="132"/>
      <c r="F500" s="132"/>
      <c r="L500" s="132"/>
      <c r="M500" s="132"/>
      <c r="P500" s="132"/>
      <c r="Q500" s="132"/>
    </row>
    <row r="501" spans="1:17" x14ac:dyDescent="0.3">
      <c r="A501" s="133"/>
      <c r="C501" s="132"/>
      <c r="D501" s="132"/>
      <c r="E501" s="132"/>
      <c r="F501" s="132"/>
      <c r="L501" s="132"/>
      <c r="M501" s="132"/>
      <c r="P501" s="132"/>
      <c r="Q501" s="132"/>
    </row>
    <row r="502" spans="1:17" x14ac:dyDescent="0.3">
      <c r="A502" s="133"/>
      <c r="C502" s="132"/>
      <c r="D502" s="132"/>
      <c r="E502" s="132"/>
      <c r="F502" s="132"/>
      <c r="L502" s="132"/>
      <c r="M502" s="132"/>
      <c r="P502" s="132"/>
      <c r="Q502" s="132"/>
    </row>
    <row r="503" spans="1:17" x14ac:dyDescent="0.3">
      <c r="A503" s="133"/>
      <c r="C503" s="132"/>
      <c r="D503" s="132"/>
      <c r="E503" s="132"/>
      <c r="F503" s="132"/>
      <c r="L503" s="132"/>
      <c r="M503" s="132"/>
      <c r="P503" s="132"/>
      <c r="Q503" s="132"/>
    </row>
    <row r="504" spans="1:17" x14ac:dyDescent="0.3">
      <c r="A504" s="133"/>
      <c r="C504" s="132"/>
      <c r="D504" s="132"/>
      <c r="E504" s="132"/>
      <c r="F504" s="132"/>
      <c r="L504" s="132"/>
      <c r="M504" s="132"/>
      <c r="P504" s="132"/>
      <c r="Q504" s="132"/>
    </row>
    <row r="505" spans="1:17" x14ac:dyDescent="0.3">
      <c r="A505" s="133"/>
      <c r="C505" s="132"/>
      <c r="D505" s="132"/>
      <c r="E505" s="132"/>
      <c r="F505" s="132"/>
      <c r="L505" s="132"/>
      <c r="M505" s="132"/>
      <c r="P505" s="132"/>
      <c r="Q505" s="132"/>
    </row>
    <row r="506" spans="1:17" x14ac:dyDescent="0.3">
      <c r="A506" s="133"/>
      <c r="C506" s="132"/>
      <c r="D506" s="132"/>
      <c r="E506" s="132"/>
      <c r="F506" s="132"/>
      <c r="L506" s="132"/>
      <c r="M506" s="132"/>
      <c r="P506" s="132"/>
      <c r="Q506" s="132"/>
    </row>
    <row r="507" spans="1:17" x14ac:dyDescent="0.3">
      <c r="A507" s="133"/>
      <c r="C507" s="132"/>
      <c r="D507" s="132"/>
      <c r="E507" s="132"/>
      <c r="F507" s="132"/>
      <c r="L507" s="132"/>
      <c r="M507" s="132"/>
      <c r="P507" s="132"/>
      <c r="Q507" s="132"/>
    </row>
    <row r="508" spans="1:17" x14ac:dyDescent="0.3">
      <c r="A508" s="133"/>
      <c r="C508" s="132"/>
      <c r="D508" s="132"/>
      <c r="E508" s="132"/>
      <c r="F508" s="132"/>
      <c r="L508" s="132"/>
      <c r="M508" s="132"/>
      <c r="P508" s="132"/>
      <c r="Q508" s="132"/>
    </row>
    <row r="509" spans="1:17" x14ac:dyDescent="0.3">
      <c r="A509" s="133"/>
      <c r="C509" s="132"/>
      <c r="D509" s="132"/>
      <c r="E509" s="132"/>
      <c r="F509" s="132"/>
      <c r="L509" s="132"/>
      <c r="M509" s="132"/>
      <c r="P509" s="132"/>
      <c r="Q509" s="132"/>
    </row>
    <row r="510" spans="1:17" x14ac:dyDescent="0.3">
      <c r="A510" s="133"/>
      <c r="C510" s="132"/>
      <c r="D510" s="132"/>
      <c r="E510" s="132"/>
      <c r="F510" s="132"/>
      <c r="L510" s="132"/>
      <c r="M510" s="132"/>
      <c r="P510" s="132"/>
      <c r="Q510" s="132"/>
    </row>
    <row r="511" spans="1:17" x14ac:dyDescent="0.3">
      <c r="A511" s="133"/>
      <c r="C511" s="132"/>
      <c r="D511" s="132"/>
      <c r="E511" s="132"/>
      <c r="F511" s="132"/>
      <c r="L511" s="132"/>
      <c r="M511" s="132"/>
      <c r="P511" s="132"/>
      <c r="Q511" s="132"/>
    </row>
    <row r="512" spans="1:17" x14ac:dyDescent="0.3">
      <c r="A512" s="133"/>
      <c r="D512" s="132"/>
      <c r="E512" s="132"/>
      <c r="F512" s="132"/>
    </row>
    <row r="513" spans="1:6" x14ac:dyDescent="0.3">
      <c r="A513" s="133"/>
      <c r="D513" s="132"/>
      <c r="E513" s="132"/>
      <c r="F513" s="132"/>
    </row>
    <row r="514" spans="1:6" x14ac:dyDescent="0.3">
      <c r="A514" s="133"/>
      <c r="D514" s="132"/>
      <c r="E514" s="132"/>
      <c r="F514" s="132"/>
    </row>
    <row r="515" spans="1:6" x14ac:dyDescent="0.3">
      <c r="A515" s="133"/>
      <c r="D515" s="132"/>
      <c r="E515" s="132"/>
      <c r="F515" s="132"/>
    </row>
    <row r="516" spans="1:6" x14ac:dyDescent="0.3">
      <c r="A516" s="133"/>
      <c r="D516" s="132"/>
      <c r="E516" s="132"/>
      <c r="F516" s="132"/>
    </row>
    <row r="517" spans="1:6" x14ac:dyDescent="0.3">
      <c r="A517" s="133"/>
      <c r="D517" s="132"/>
      <c r="E517" s="132"/>
      <c r="F517" s="132"/>
    </row>
    <row r="518" spans="1:6" x14ac:dyDescent="0.3">
      <c r="A518" s="133"/>
      <c r="D518" s="132"/>
      <c r="E518" s="132"/>
      <c r="F518" s="132"/>
    </row>
    <row r="519" spans="1:6" x14ac:dyDescent="0.3">
      <c r="A519" s="133"/>
      <c r="D519" s="132"/>
      <c r="E519" s="132"/>
      <c r="F519" s="132"/>
    </row>
    <row r="520" spans="1:6" x14ac:dyDescent="0.3">
      <c r="A520" s="133"/>
      <c r="D520" s="132"/>
      <c r="E520" s="132"/>
      <c r="F520" s="132"/>
    </row>
    <row r="521" spans="1:6" x14ac:dyDescent="0.3">
      <c r="A521" s="133"/>
      <c r="D521" s="132"/>
      <c r="E521" s="132"/>
      <c r="F521" s="132"/>
    </row>
    <row r="522" spans="1:6" x14ac:dyDescent="0.3">
      <c r="A522" s="133"/>
      <c r="D522" s="132"/>
      <c r="E522" s="132"/>
      <c r="F522" s="132"/>
    </row>
    <row r="523" spans="1:6" x14ac:dyDescent="0.3">
      <c r="A523" s="133"/>
      <c r="D523" s="132"/>
      <c r="E523" s="132"/>
      <c r="F523" s="132"/>
    </row>
    <row r="524" spans="1:6" x14ac:dyDescent="0.3">
      <c r="A524" s="133"/>
      <c r="D524" s="132"/>
      <c r="E524" s="132"/>
      <c r="F524" s="132"/>
    </row>
    <row r="525" spans="1:6" x14ac:dyDescent="0.3">
      <c r="A525" s="133"/>
      <c r="D525" s="132"/>
      <c r="E525" s="132"/>
      <c r="F525" s="132"/>
    </row>
    <row r="526" spans="1:6" x14ac:dyDescent="0.3">
      <c r="A526" s="133"/>
      <c r="D526" s="132"/>
      <c r="E526" s="132"/>
      <c r="F526" s="132"/>
    </row>
    <row r="527" spans="1:6" x14ac:dyDescent="0.3">
      <c r="A527" s="133"/>
      <c r="D527" s="132"/>
      <c r="E527" s="132"/>
      <c r="F527" s="132"/>
    </row>
    <row r="528" spans="1:6" x14ac:dyDescent="0.3">
      <c r="A528" s="133"/>
      <c r="D528" s="132"/>
      <c r="E528" s="132"/>
      <c r="F528" s="132"/>
    </row>
    <row r="529" spans="1:6" x14ac:dyDescent="0.3">
      <c r="A529" s="133"/>
      <c r="D529" s="132"/>
      <c r="E529" s="132"/>
      <c r="F529" s="132"/>
    </row>
    <row r="530" spans="1:6" x14ac:dyDescent="0.3">
      <c r="A530" s="133"/>
      <c r="D530" s="132"/>
      <c r="E530" s="132"/>
      <c r="F530" s="132"/>
    </row>
    <row r="531" spans="1:6" x14ac:dyDescent="0.3">
      <c r="A531" s="133"/>
      <c r="D531" s="132"/>
      <c r="E531" s="132"/>
      <c r="F531" s="132"/>
    </row>
    <row r="532" spans="1:6" x14ac:dyDescent="0.3">
      <c r="A532" s="133"/>
      <c r="D532" s="132"/>
      <c r="E532" s="132"/>
      <c r="F532" s="132"/>
    </row>
    <row r="533" spans="1:6" x14ac:dyDescent="0.3">
      <c r="A533" s="133"/>
      <c r="D533" s="132"/>
      <c r="E533" s="132"/>
      <c r="F533" s="132"/>
    </row>
    <row r="534" spans="1:6" x14ac:dyDescent="0.3">
      <c r="A534" s="133"/>
      <c r="D534" s="132"/>
      <c r="E534" s="132"/>
      <c r="F534" s="132"/>
    </row>
    <row r="535" spans="1:6" x14ac:dyDescent="0.3">
      <c r="A535" s="133"/>
      <c r="D535" s="132"/>
      <c r="E535" s="132"/>
      <c r="F535" s="132"/>
    </row>
    <row r="536" spans="1:6" x14ac:dyDescent="0.3">
      <c r="A536" s="133"/>
      <c r="D536" s="132"/>
      <c r="E536" s="132"/>
      <c r="F536" s="132"/>
    </row>
    <row r="537" spans="1:6" x14ac:dyDescent="0.3">
      <c r="A537" s="133"/>
      <c r="D537" s="132"/>
      <c r="E537" s="132"/>
      <c r="F537" s="132"/>
    </row>
    <row r="538" spans="1:6" x14ac:dyDescent="0.3">
      <c r="A538" s="133"/>
      <c r="D538" s="132"/>
      <c r="E538" s="132"/>
      <c r="F538" s="132"/>
    </row>
    <row r="539" spans="1:6" x14ac:dyDescent="0.3">
      <c r="A539" s="133"/>
      <c r="D539" s="132"/>
      <c r="E539" s="132"/>
      <c r="F539" s="132"/>
    </row>
    <row r="540" spans="1:6" x14ac:dyDescent="0.3">
      <c r="A540" s="133"/>
      <c r="D540" s="132"/>
      <c r="E540" s="132"/>
      <c r="F540" s="132"/>
    </row>
    <row r="541" spans="1:6" x14ac:dyDescent="0.3">
      <c r="A541" s="133"/>
      <c r="D541" s="132"/>
      <c r="E541" s="132"/>
      <c r="F541" s="132"/>
    </row>
    <row r="542" spans="1:6" x14ac:dyDescent="0.3">
      <c r="A542" s="133"/>
      <c r="D542" s="132"/>
      <c r="E542" s="132"/>
      <c r="F542" s="132"/>
    </row>
    <row r="543" spans="1:6" x14ac:dyDescent="0.3">
      <c r="A543" s="133"/>
      <c r="D543" s="132"/>
      <c r="E543" s="132"/>
      <c r="F543" s="132"/>
    </row>
    <row r="544" spans="1:6" x14ac:dyDescent="0.3">
      <c r="A544" s="133"/>
      <c r="D544" s="132"/>
      <c r="E544" s="132"/>
      <c r="F544" s="132"/>
    </row>
    <row r="545" spans="1:6" x14ac:dyDescent="0.3">
      <c r="A545" s="133"/>
      <c r="D545" s="132"/>
      <c r="E545" s="132"/>
      <c r="F545" s="132"/>
    </row>
    <row r="546" spans="1:6" x14ac:dyDescent="0.3">
      <c r="A546" s="133"/>
      <c r="D546" s="132"/>
      <c r="E546" s="132"/>
      <c r="F546" s="132"/>
    </row>
    <row r="547" spans="1:6" x14ac:dyDescent="0.3">
      <c r="A547" s="133"/>
      <c r="D547" s="132"/>
      <c r="E547" s="132"/>
      <c r="F547" s="132"/>
    </row>
    <row r="548" spans="1:6" x14ac:dyDescent="0.3">
      <c r="A548" s="133"/>
      <c r="D548" s="132"/>
      <c r="E548" s="132"/>
      <c r="F548" s="132"/>
    </row>
    <row r="549" spans="1:6" x14ac:dyDescent="0.3">
      <c r="A549" s="133"/>
      <c r="D549" s="132"/>
      <c r="E549" s="132"/>
      <c r="F549" s="132"/>
    </row>
    <row r="550" spans="1:6" x14ac:dyDescent="0.3">
      <c r="A550" s="133"/>
      <c r="D550" s="132"/>
      <c r="E550" s="132"/>
      <c r="F550" s="132"/>
    </row>
    <row r="551" spans="1:6" x14ac:dyDescent="0.3">
      <c r="A551" s="133"/>
      <c r="D551" s="132"/>
      <c r="E551" s="132"/>
      <c r="F551" s="132"/>
    </row>
    <row r="552" spans="1:6" x14ac:dyDescent="0.3">
      <c r="A552" s="133"/>
      <c r="D552" s="132"/>
      <c r="E552" s="132"/>
      <c r="F552" s="132"/>
    </row>
    <row r="553" spans="1:6" x14ac:dyDescent="0.3">
      <c r="A553" s="133"/>
      <c r="D553" s="132"/>
      <c r="E553" s="132"/>
      <c r="F553" s="132"/>
    </row>
    <row r="554" spans="1:6" x14ac:dyDescent="0.3">
      <c r="A554" s="133"/>
      <c r="D554" s="132"/>
      <c r="E554" s="132"/>
      <c r="F554" s="132"/>
    </row>
    <row r="555" spans="1:6" x14ac:dyDescent="0.3">
      <c r="A555" s="133"/>
      <c r="D555" s="132"/>
      <c r="E555" s="132"/>
      <c r="F555" s="132"/>
    </row>
    <row r="556" spans="1:6" x14ac:dyDescent="0.3">
      <c r="A556" s="133"/>
      <c r="D556" s="132"/>
      <c r="E556" s="132"/>
      <c r="F556" s="132"/>
    </row>
    <row r="557" spans="1:6" x14ac:dyDescent="0.3">
      <c r="A557" s="133"/>
      <c r="D557" s="132"/>
      <c r="E557" s="132"/>
      <c r="F557" s="132"/>
    </row>
    <row r="558" spans="1:6" x14ac:dyDescent="0.3">
      <c r="A558" s="133"/>
      <c r="D558" s="132"/>
      <c r="E558" s="132"/>
      <c r="F558" s="132"/>
    </row>
    <row r="559" spans="1:6" x14ac:dyDescent="0.3">
      <c r="A559" s="133"/>
      <c r="D559" s="132"/>
      <c r="E559" s="132"/>
      <c r="F559" s="132"/>
    </row>
    <row r="560" spans="1:6" x14ac:dyDescent="0.3">
      <c r="A560" s="133"/>
      <c r="D560" s="132"/>
      <c r="E560" s="132"/>
      <c r="F560" s="132"/>
    </row>
    <row r="561" spans="1:6" x14ac:dyDescent="0.3">
      <c r="A561" s="133"/>
      <c r="D561" s="132"/>
      <c r="E561" s="132"/>
      <c r="F561" s="132"/>
    </row>
    <row r="562" spans="1:6" x14ac:dyDescent="0.3">
      <c r="A562" s="133"/>
      <c r="D562" s="132"/>
      <c r="E562" s="132"/>
      <c r="F562" s="132"/>
    </row>
    <row r="563" spans="1:6" x14ac:dyDescent="0.3">
      <c r="A563" s="133"/>
      <c r="D563" s="132"/>
      <c r="E563" s="132"/>
      <c r="F563" s="132"/>
    </row>
    <row r="564" spans="1:6" x14ac:dyDescent="0.3">
      <c r="A564" s="133"/>
      <c r="D564" s="132"/>
      <c r="E564" s="132"/>
      <c r="F564" s="132"/>
    </row>
    <row r="565" spans="1:6" x14ac:dyDescent="0.3">
      <c r="A565" s="133"/>
      <c r="D565" s="132"/>
      <c r="E565" s="132"/>
      <c r="F565" s="132"/>
    </row>
    <row r="566" spans="1:6" x14ac:dyDescent="0.3">
      <c r="A566" s="133"/>
      <c r="D566" s="132"/>
      <c r="E566" s="132"/>
      <c r="F566" s="132"/>
    </row>
    <row r="567" spans="1:6" x14ac:dyDescent="0.3">
      <c r="A567" s="133"/>
      <c r="D567" s="132"/>
      <c r="E567" s="132"/>
      <c r="F567" s="132"/>
    </row>
    <row r="568" spans="1:6" x14ac:dyDescent="0.3">
      <c r="A568" s="133"/>
      <c r="D568" s="132"/>
      <c r="E568" s="132"/>
      <c r="F568" s="132"/>
    </row>
    <row r="569" spans="1:6" x14ac:dyDescent="0.3">
      <c r="A569" s="133"/>
      <c r="D569" s="132"/>
      <c r="E569" s="132"/>
      <c r="F569" s="132"/>
    </row>
    <row r="570" spans="1:6" x14ac:dyDescent="0.3">
      <c r="A570" s="133"/>
      <c r="D570" s="132"/>
      <c r="E570" s="132"/>
      <c r="F570" s="132"/>
    </row>
    <row r="571" spans="1:6" x14ac:dyDescent="0.3">
      <c r="A571" s="133"/>
      <c r="D571" s="132"/>
      <c r="E571" s="132"/>
      <c r="F571" s="132"/>
    </row>
    <row r="572" spans="1:6" x14ac:dyDescent="0.3">
      <c r="A572" s="133"/>
      <c r="D572" s="132"/>
      <c r="E572" s="132"/>
      <c r="F572" s="132"/>
    </row>
    <row r="573" spans="1:6" x14ac:dyDescent="0.3">
      <c r="A573" s="133"/>
      <c r="D573" s="132"/>
      <c r="E573" s="132"/>
      <c r="F573" s="132"/>
    </row>
    <row r="574" spans="1:6" x14ac:dyDescent="0.3">
      <c r="A574" s="133"/>
      <c r="D574" s="132"/>
      <c r="E574" s="132"/>
      <c r="F574" s="132"/>
    </row>
    <row r="575" spans="1:6" x14ac:dyDescent="0.3">
      <c r="A575" s="133"/>
      <c r="D575" s="132"/>
      <c r="E575" s="132"/>
      <c r="F575" s="132"/>
    </row>
    <row r="576" spans="1:6" x14ac:dyDescent="0.3">
      <c r="A576" s="133"/>
      <c r="D576" s="132"/>
      <c r="E576" s="132"/>
      <c r="F576" s="132"/>
    </row>
    <row r="577" spans="1:6" x14ac:dyDescent="0.3">
      <c r="A577" s="133"/>
      <c r="D577" s="132"/>
      <c r="E577" s="132"/>
      <c r="F577" s="132"/>
    </row>
    <row r="578" spans="1:6" x14ac:dyDescent="0.3">
      <c r="A578" s="133"/>
      <c r="D578" s="132"/>
      <c r="E578" s="132"/>
      <c r="F578" s="132"/>
    </row>
    <row r="579" spans="1:6" x14ac:dyDescent="0.3">
      <c r="A579" s="133"/>
      <c r="D579" s="132"/>
      <c r="E579" s="132"/>
      <c r="F579" s="132"/>
    </row>
    <row r="580" spans="1:6" x14ac:dyDescent="0.3">
      <c r="A580" s="133"/>
      <c r="D580" s="132"/>
      <c r="E580" s="132"/>
      <c r="F580" s="132"/>
    </row>
    <row r="581" spans="1:6" x14ac:dyDescent="0.3">
      <c r="A581" s="133"/>
      <c r="D581" s="132"/>
      <c r="E581" s="132"/>
      <c r="F581" s="132"/>
    </row>
    <row r="582" spans="1:6" x14ac:dyDescent="0.3">
      <c r="A582" s="133"/>
      <c r="D582" s="132"/>
      <c r="E582" s="132"/>
      <c r="F582" s="132"/>
    </row>
    <row r="583" spans="1:6" x14ac:dyDescent="0.3">
      <c r="A583" s="133"/>
      <c r="D583" s="132"/>
      <c r="E583" s="132"/>
      <c r="F583" s="132"/>
    </row>
    <row r="584" spans="1:6" x14ac:dyDescent="0.3">
      <c r="A584" s="133"/>
      <c r="D584" s="132"/>
      <c r="E584" s="132"/>
      <c r="F584" s="132"/>
    </row>
    <row r="585" spans="1:6" x14ac:dyDescent="0.3">
      <c r="A585" s="133"/>
      <c r="D585" s="132"/>
      <c r="E585" s="132"/>
      <c r="F585" s="132"/>
    </row>
    <row r="586" spans="1:6" x14ac:dyDescent="0.3">
      <c r="A586" s="133"/>
      <c r="D586" s="132"/>
      <c r="E586" s="132"/>
      <c r="F586" s="132"/>
    </row>
    <row r="587" spans="1:6" x14ac:dyDescent="0.3">
      <c r="A587" s="133"/>
      <c r="D587" s="132"/>
      <c r="E587" s="132"/>
      <c r="F587" s="132"/>
    </row>
    <row r="588" spans="1:6" x14ac:dyDescent="0.3">
      <c r="A588" s="133"/>
      <c r="D588" s="132"/>
      <c r="E588" s="132"/>
      <c r="F588" s="132"/>
    </row>
    <row r="589" spans="1:6" x14ac:dyDescent="0.3">
      <c r="A589" s="133"/>
      <c r="D589" s="132"/>
      <c r="E589" s="132"/>
      <c r="F589" s="132"/>
    </row>
    <row r="590" spans="1:6" x14ac:dyDescent="0.3">
      <c r="A590" s="133"/>
      <c r="D590" s="132"/>
      <c r="E590" s="132"/>
      <c r="F590" s="132"/>
    </row>
    <row r="591" spans="1:6" x14ac:dyDescent="0.3">
      <c r="A591" s="133"/>
      <c r="D591" s="132"/>
      <c r="E591" s="132"/>
      <c r="F591" s="132"/>
    </row>
    <row r="592" spans="1:6" x14ac:dyDescent="0.3">
      <c r="A592" s="133"/>
      <c r="D592" s="132"/>
      <c r="E592" s="132"/>
      <c r="F592" s="132"/>
    </row>
    <row r="593" spans="1:17" x14ac:dyDescent="0.3">
      <c r="A593" s="133"/>
      <c r="D593" s="132"/>
      <c r="E593" s="132"/>
      <c r="F593" s="132"/>
    </row>
    <row r="594" spans="1:17" x14ac:dyDescent="0.3">
      <c r="A594" s="133"/>
      <c r="D594" s="132"/>
      <c r="E594" s="132"/>
      <c r="F594" s="132"/>
    </row>
    <row r="595" spans="1:17" x14ac:dyDescent="0.3">
      <c r="A595" s="133"/>
      <c r="D595" s="132"/>
      <c r="E595" s="132"/>
      <c r="F595" s="132"/>
    </row>
    <row r="596" spans="1:17" x14ac:dyDescent="0.3">
      <c r="A596" s="133"/>
      <c r="D596" s="132"/>
      <c r="E596" s="132"/>
      <c r="F596" s="132"/>
    </row>
    <row r="597" spans="1:17" x14ac:dyDescent="0.3">
      <c r="A597" s="133"/>
      <c r="D597" s="132"/>
      <c r="E597" s="132"/>
      <c r="F597" s="132"/>
    </row>
    <row r="598" spans="1:17" s="132" customFormat="1" x14ac:dyDescent="0.3">
      <c r="A598" s="133"/>
      <c r="H598" s="134"/>
      <c r="J598" s="135"/>
      <c r="K598" s="134"/>
    </row>
    <row r="599" spans="1:17" s="132" customFormat="1" x14ac:dyDescent="0.3">
      <c r="A599" s="133"/>
      <c r="H599" s="134"/>
      <c r="J599" s="135"/>
      <c r="K599" s="134"/>
    </row>
    <row r="600" spans="1:17" s="132" customFormat="1" x14ac:dyDescent="0.3">
      <c r="A600" s="133"/>
      <c r="K600" s="134"/>
    </row>
    <row r="601" spans="1:17" s="132" customFormat="1" x14ac:dyDescent="0.3">
      <c r="A601" s="133"/>
      <c r="K601" s="134"/>
    </row>
    <row r="602" spans="1:17" x14ac:dyDescent="0.3">
      <c r="A602" s="133"/>
      <c r="C602" s="132"/>
      <c r="D602" s="132"/>
      <c r="E602" s="132"/>
      <c r="F602" s="132"/>
      <c r="L602" s="132"/>
      <c r="M602" s="132"/>
      <c r="P602" s="132"/>
      <c r="Q602" s="132"/>
    </row>
    <row r="603" spans="1:17" x14ac:dyDescent="0.3">
      <c r="A603" s="133"/>
      <c r="C603" s="132"/>
      <c r="D603" s="132"/>
      <c r="E603" s="132"/>
      <c r="F603" s="132"/>
      <c r="L603" s="132"/>
      <c r="M603" s="132"/>
      <c r="P603" s="132"/>
      <c r="Q603" s="132"/>
    </row>
    <row r="604" spans="1:17" x14ac:dyDescent="0.3">
      <c r="A604" s="133"/>
      <c r="C604" s="132"/>
      <c r="D604" s="132"/>
      <c r="E604" s="132"/>
      <c r="F604" s="132"/>
      <c r="L604" s="132"/>
      <c r="M604" s="132"/>
      <c r="P604" s="132"/>
      <c r="Q604" s="132"/>
    </row>
    <row r="605" spans="1:17" x14ac:dyDescent="0.3">
      <c r="A605" s="133"/>
      <c r="C605" s="132"/>
      <c r="D605" s="132"/>
      <c r="E605" s="132"/>
      <c r="F605" s="132"/>
      <c r="L605" s="132"/>
      <c r="M605" s="132"/>
      <c r="P605" s="132"/>
      <c r="Q605" s="132"/>
    </row>
    <row r="606" spans="1:17" x14ac:dyDescent="0.3">
      <c r="A606" s="133"/>
      <c r="C606" s="132"/>
      <c r="D606" s="132"/>
      <c r="E606" s="132"/>
      <c r="F606" s="132"/>
      <c r="L606" s="132"/>
      <c r="M606" s="132"/>
      <c r="P606" s="132"/>
      <c r="Q606" s="132"/>
    </row>
    <row r="607" spans="1:17" x14ac:dyDescent="0.3">
      <c r="A607" s="133"/>
      <c r="C607" s="132"/>
      <c r="D607" s="132"/>
      <c r="E607" s="132"/>
      <c r="F607" s="132"/>
      <c r="L607" s="132"/>
      <c r="M607" s="132"/>
      <c r="P607" s="132"/>
      <c r="Q607" s="132"/>
    </row>
    <row r="608" spans="1:17" x14ac:dyDescent="0.3">
      <c r="A608" s="133"/>
      <c r="C608" s="132"/>
      <c r="D608" s="132"/>
      <c r="E608" s="132"/>
      <c r="F608" s="132"/>
      <c r="L608" s="132"/>
      <c r="M608" s="132"/>
      <c r="P608" s="132"/>
      <c r="Q608" s="132"/>
    </row>
    <row r="609" spans="1:17" x14ac:dyDescent="0.3">
      <c r="A609" s="133"/>
      <c r="C609" s="132"/>
      <c r="D609" s="132"/>
      <c r="E609" s="132"/>
      <c r="F609" s="132"/>
      <c r="L609" s="132"/>
      <c r="M609" s="132"/>
      <c r="P609" s="132"/>
      <c r="Q609" s="132"/>
    </row>
    <row r="610" spans="1:17" x14ac:dyDescent="0.3">
      <c r="A610" s="133"/>
      <c r="C610" s="132"/>
      <c r="D610" s="132"/>
      <c r="E610" s="132"/>
      <c r="F610" s="132"/>
      <c r="L610" s="132"/>
      <c r="M610" s="132"/>
      <c r="P610" s="132"/>
      <c r="Q610" s="132"/>
    </row>
    <row r="611" spans="1:17" x14ac:dyDescent="0.3">
      <c r="A611" s="133"/>
      <c r="C611" s="132"/>
      <c r="D611" s="132"/>
      <c r="E611" s="132"/>
      <c r="F611" s="132"/>
      <c r="L611" s="132"/>
      <c r="M611" s="132"/>
      <c r="P611" s="132"/>
      <c r="Q611" s="132"/>
    </row>
    <row r="612" spans="1:17" x14ac:dyDescent="0.3">
      <c r="A612" s="133"/>
      <c r="C612" s="132"/>
      <c r="D612" s="132"/>
      <c r="E612" s="132"/>
      <c r="F612" s="132"/>
      <c r="L612" s="132"/>
      <c r="M612" s="132"/>
      <c r="P612" s="132"/>
      <c r="Q612" s="132"/>
    </row>
    <row r="613" spans="1:17" x14ac:dyDescent="0.3">
      <c r="A613" s="133"/>
      <c r="C613" s="132"/>
      <c r="D613" s="132"/>
      <c r="E613" s="132"/>
      <c r="F613" s="132"/>
      <c r="L613" s="132"/>
      <c r="M613" s="132"/>
      <c r="P613" s="132"/>
      <c r="Q613" s="132"/>
    </row>
    <row r="614" spans="1:17" x14ac:dyDescent="0.3">
      <c r="A614" s="133"/>
      <c r="C614" s="132"/>
      <c r="D614" s="132"/>
      <c r="E614" s="132"/>
      <c r="F614" s="132"/>
      <c r="L614" s="132"/>
      <c r="M614" s="132"/>
      <c r="P614" s="132"/>
      <c r="Q614" s="132"/>
    </row>
    <row r="615" spans="1:17" x14ac:dyDescent="0.3">
      <c r="A615" s="133"/>
      <c r="C615" s="132"/>
      <c r="D615" s="132"/>
      <c r="E615" s="132"/>
      <c r="F615" s="132"/>
      <c r="L615" s="132"/>
      <c r="M615" s="132"/>
      <c r="P615" s="132"/>
      <c r="Q615" s="132"/>
    </row>
    <row r="616" spans="1:17" x14ac:dyDescent="0.3">
      <c r="A616" s="133"/>
      <c r="C616" s="132"/>
      <c r="D616" s="132"/>
      <c r="E616" s="132"/>
      <c r="F616" s="132"/>
      <c r="L616" s="132"/>
      <c r="M616" s="132"/>
      <c r="P616" s="132"/>
      <c r="Q616" s="132"/>
    </row>
    <row r="617" spans="1:17" x14ac:dyDescent="0.3">
      <c r="A617" s="133"/>
      <c r="D617" s="132"/>
      <c r="E617" s="132"/>
      <c r="F617" s="132"/>
    </row>
    <row r="618" spans="1:17" x14ac:dyDescent="0.3">
      <c r="A618" s="133"/>
      <c r="D618" s="132"/>
      <c r="E618" s="132"/>
      <c r="F618" s="132"/>
    </row>
    <row r="619" spans="1:17" x14ac:dyDescent="0.3">
      <c r="A619" s="133"/>
      <c r="D619" s="132"/>
      <c r="E619" s="132"/>
      <c r="F619" s="132"/>
    </row>
    <row r="620" spans="1:17" x14ac:dyDescent="0.3">
      <c r="A620" s="133"/>
      <c r="D620" s="132"/>
      <c r="E620" s="132"/>
      <c r="F620" s="132"/>
    </row>
    <row r="621" spans="1:17" x14ac:dyDescent="0.3">
      <c r="A621" s="133"/>
      <c r="D621" s="132"/>
      <c r="E621" s="132"/>
      <c r="F621" s="132"/>
    </row>
    <row r="622" spans="1:17" x14ac:dyDescent="0.3">
      <c r="A622" s="133"/>
      <c r="D622" s="132"/>
      <c r="E622" s="132"/>
      <c r="F622" s="132"/>
    </row>
    <row r="623" spans="1:17" x14ac:dyDescent="0.3">
      <c r="A623" s="133"/>
      <c r="D623" s="132"/>
      <c r="E623" s="132"/>
      <c r="F623" s="132"/>
    </row>
    <row r="624" spans="1:17" x14ac:dyDescent="0.3">
      <c r="A624" s="133"/>
      <c r="D624" s="132"/>
      <c r="E624" s="132"/>
      <c r="F624" s="132"/>
    </row>
    <row r="625" spans="1:6" x14ac:dyDescent="0.3">
      <c r="A625" s="133"/>
      <c r="D625" s="132"/>
      <c r="E625" s="132"/>
      <c r="F625" s="132"/>
    </row>
    <row r="626" spans="1:6" x14ac:dyDescent="0.3">
      <c r="A626" s="133"/>
      <c r="D626" s="132"/>
      <c r="E626" s="132"/>
      <c r="F626" s="132"/>
    </row>
    <row r="627" spans="1:6" x14ac:dyDescent="0.3">
      <c r="A627" s="133"/>
      <c r="D627" s="132"/>
      <c r="E627" s="132"/>
      <c r="F627" s="132"/>
    </row>
    <row r="628" spans="1:6" x14ac:dyDescent="0.3">
      <c r="A628" s="133"/>
      <c r="D628" s="132"/>
      <c r="E628" s="132"/>
      <c r="F628" s="132"/>
    </row>
    <row r="629" spans="1:6" x14ac:dyDescent="0.3">
      <c r="A629" s="133"/>
      <c r="D629" s="132"/>
      <c r="E629" s="132"/>
      <c r="F629" s="132"/>
    </row>
    <row r="630" spans="1:6" x14ac:dyDescent="0.3">
      <c r="A630" s="133"/>
      <c r="D630" s="132"/>
      <c r="E630" s="132"/>
      <c r="F630" s="132"/>
    </row>
    <row r="631" spans="1:6" x14ac:dyDescent="0.3">
      <c r="A631" s="133"/>
      <c r="D631" s="132"/>
      <c r="E631" s="132"/>
      <c r="F631" s="132"/>
    </row>
    <row r="632" spans="1:6" x14ac:dyDescent="0.3">
      <c r="A632" s="133"/>
      <c r="D632" s="132"/>
      <c r="E632" s="132"/>
      <c r="F632" s="132"/>
    </row>
    <row r="633" spans="1:6" x14ac:dyDescent="0.3">
      <c r="A633" s="133"/>
      <c r="D633" s="132"/>
      <c r="E633" s="132"/>
      <c r="F633" s="132"/>
    </row>
    <row r="634" spans="1:6" x14ac:dyDescent="0.3">
      <c r="A634" s="133"/>
      <c r="D634" s="132"/>
      <c r="E634" s="132"/>
      <c r="F634" s="132"/>
    </row>
    <row r="635" spans="1:6" x14ac:dyDescent="0.3">
      <c r="A635" s="133"/>
      <c r="D635" s="132"/>
      <c r="E635" s="132"/>
      <c r="F635" s="132"/>
    </row>
    <row r="636" spans="1:6" x14ac:dyDescent="0.3">
      <c r="A636" s="133"/>
      <c r="D636" s="132"/>
      <c r="E636" s="132"/>
      <c r="F636" s="132"/>
    </row>
    <row r="637" spans="1:6" x14ac:dyDescent="0.3">
      <c r="A637" s="133"/>
      <c r="D637" s="132"/>
      <c r="E637" s="132"/>
      <c r="F637" s="132"/>
    </row>
    <row r="638" spans="1:6" x14ac:dyDescent="0.3">
      <c r="A638" s="133"/>
      <c r="D638" s="132"/>
      <c r="E638" s="132"/>
      <c r="F638" s="132"/>
    </row>
    <row r="639" spans="1:6" x14ac:dyDescent="0.3">
      <c r="A639" s="133"/>
      <c r="D639" s="132"/>
      <c r="E639" s="132"/>
      <c r="F639" s="132"/>
    </row>
    <row r="640" spans="1:6" x14ac:dyDescent="0.3">
      <c r="A640" s="133"/>
      <c r="D640" s="132"/>
      <c r="E640" s="132"/>
      <c r="F640" s="132"/>
    </row>
    <row r="641" spans="1:13" x14ac:dyDescent="0.3">
      <c r="A641" s="133"/>
      <c r="D641" s="132"/>
      <c r="E641" s="132"/>
      <c r="F641" s="132"/>
    </row>
    <row r="642" spans="1:13" x14ac:dyDescent="0.3">
      <c r="A642" s="133"/>
      <c r="D642" s="132"/>
      <c r="E642" s="132"/>
      <c r="F642" s="132"/>
    </row>
    <row r="643" spans="1:13" x14ac:dyDescent="0.3">
      <c r="A643" s="133"/>
      <c r="D643" s="132"/>
      <c r="E643" s="132"/>
      <c r="F643" s="132"/>
    </row>
    <row r="644" spans="1:13" x14ac:dyDescent="0.3">
      <c r="A644" s="133"/>
      <c r="D644" s="132"/>
      <c r="E644" s="132"/>
      <c r="F644" s="132"/>
    </row>
    <row r="645" spans="1:13" x14ac:dyDescent="0.3">
      <c r="A645" s="133"/>
      <c r="D645" s="132"/>
      <c r="E645" s="132"/>
      <c r="F645" s="132"/>
    </row>
    <row r="646" spans="1:13" x14ac:dyDescent="0.3">
      <c r="A646" s="133"/>
      <c r="D646" s="132"/>
      <c r="E646" s="132"/>
      <c r="F646" s="132"/>
    </row>
    <row r="647" spans="1:13" x14ac:dyDescent="0.3">
      <c r="A647" s="133"/>
      <c r="D647" s="132"/>
      <c r="E647" s="132"/>
      <c r="F647" s="132"/>
    </row>
    <row r="648" spans="1:13" x14ac:dyDescent="0.3">
      <c r="A648" s="133"/>
      <c r="D648" s="132"/>
      <c r="E648" s="132"/>
      <c r="F648" s="132"/>
    </row>
    <row r="649" spans="1:13" x14ac:dyDescent="0.3">
      <c r="A649" s="133"/>
      <c r="D649" s="132"/>
      <c r="E649" s="132"/>
      <c r="F649" s="132"/>
    </row>
    <row r="650" spans="1:13" x14ac:dyDescent="0.3">
      <c r="A650" s="133"/>
      <c r="D650" s="132"/>
      <c r="E650" s="132"/>
      <c r="F650" s="132"/>
    </row>
    <row r="651" spans="1:13" x14ac:dyDescent="0.3">
      <c r="A651" s="133"/>
    </row>
    <row r="652" spans="1:13" x14ac:dyDescent="0.3">
      <c r="A652" s="133"/>
    </row>
    <row r="653" spans="1:13" x14ac:dyDescent="0.3">
      <c r="A653" s="133"/>
      <c r="F653" s="21"/>
      <c r="G653" s="111"/>
      <c r="H653" s="111"/>
      <c r="I653" s="111"/>
      <c r="J653" s="112"/>
      <c r="K653" s="124"/>
      <c r="L653" s="111"/>
      <c r="M653" s="111"/>
    </row>
    <row r="654" spans="1:13" x14ac:dyDescent="0.3">
      <c r="A654" s="133"/>
    </row>
    <row r="655" spans="1:13" x14ac:dyDescent="0.3">
      <c r="A655" s="133"/>
    </row>
    <row r="656" spans="1:13" x14ac:dyDescent="0.3">
      <c r="A656" s="133"/>
    </row>
    <row r="657" spans="1:1" x14ac:dyDescent="0.3">
      <c r="A657" s="133"/>
    </row>
    <row r="658" spans="1:1" x14ac:dyDescent="0.3">
      <c r="A658" s="133"/>
    </row>
    <row r="659" spans="1:1" x14ac:dyDescent="0.3">
      <c r="A659" s="133"/>
    </row>
    <row r="660" spans="1:1" x14ac:dyDescent="0.3">
      <c r="A660" s="133"/>
    </row>
    <row r="661" spans="1:1" x14ac:dyDescent="0.3">
      <c r="A661" s="133"/>
    </row>
    <row r="662" spans="1:1" x14ac:dyDescent="0.3">
      <c r="A662" s="133"/>
    </row>
    <row r="663" spans="1:1" x14ac:dyDescent="0.3">
      <c r="A663" s="133"/>
    </row>
    <row r="664" spans="1:1" x14ac:dyDescent="0.3">
      <c r="A664" s="133"/>
    </row>
    <row r="665" spans="1:1" x14ac:dyDescent="0.3">
      <c r="A665" s="133"/>
    </row>
    <row r="666" spans="1:1" x14ac:dyDescent="0.3">
      <c r="A666" s="133"/>
    </row>
    <row r="667" spans="1:1" x14ac:dyDescent="0.3">
      <c r="A667" s="133"/>
    </row>
    <row r="668" spans="1:1" x14ac:dyDescent="0.3">
      <c r="A668" s="133"/>
    </row>
    <row r="669" spans="1:1" x14ac:dyDescent="0.3">
      <c r="A669" s="133"/>
    </row>
  </sheetData>
  <conditionalFormatting sqref="F1">
    <cfRule type="containsText" dxfId="1" priority="1" operator="containsText" text="Dummy Configuration">
      <formula>NOT(ISERROR(SEARCH("Dummy Configuration",F1)))</formula>
    </cfRule>
  </conditionalFormatting>
  <dataValidations count="1">
    <dataValidation type="list" allowBlank="1" showInputMessage="1" showErrorMessage="1" sqref="A493:A669" xr:uid="{00000000-0002-0000-1100-000000000000}">
      <formula1>business_contxt</formula1>
    </dataValidation>
  </dataValidations>
  <pageMargins left="0.7" right="0.7" top="0.75" bottom="0.75" header="0.3" footer="0.3"/>
  <pageSetup orientation="portrait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9">
    <tabColor theme="5"/>
  </sheetPr>
  <dimension ref="A1:S653"/>
  <sheetViews>
    <sheetView showGridLines="0" zoomScale="53" zoomScaleNormal="60" workbookViewId="0">
      <pane ySplit="1" topLeftCell="A2" activePane="bottomLeft" state="frozen"/>
      <selection activeCell="H5" sqref="H5"/>
      <selection pane="bottomLeft" activeCell="F26" sqref="F26"/>
    </sheetView>
  </sheetViews>
  <sheetFormatPr defaultColWidth="8.5546875" defaultRowHeight="14.4" x14ac:dyDescent="0.3"/>
  <cols>
    <col min="1" max="1" width="11.44140625" customWidth="1"/>
    <col min="2" max="2" width="14" customWidth="1"/>
    <col min="3" max="3" width="45.44140625" customWidth="1"/>
    <col min="4" max="4" width="35.109375" customWidth="1"/>
    <col min="5" max="5" width="39" customWidth="1"/>
    <col min="6" max="6" width="12.109375" customWidth="1"/>
    <col min="7" max="7" width="8.33203125" customWidth="1"/>
    <col min="8" max="8" width="15.33203125" style="27" customWidth="1"/>
    <col min="9" max="9" width="93.21875" customWidth="1"/>
    <col min="10" max="10" width="10.44140625" style="27" customWidth="1"/>
    <col min="11" max="11" width="12.21875" style="27" customWidth="1"/>
    <col min="12" max="12" width="31" customWidth="1"/>
    <col min="13" max="13" width="49.21875" customWidth="1"/>
    <col min="14" max="14" width="41.5546875" bestFit="1" customWidth="1"/>
    <col min="15" max="15" width="13.33203125" customWidth="1"/>
    <col min="16" max="16" width="13.5546875" customWidth="1"/>
    <col min="17" max="17" width="19.5546875" bestFit="1" customWidth="1"/>
    <col min="18" max="18" width="38.33203125" customWidth="1"/>
    <col min="19" max="19" width="31.5546875" customWidth="1"/>
    <col min="20" max="24" width="8.5546875" customWidth="1"/>
  </cols>
  <sheetData>
    <row r="1" spans="1:19" s="27" customFormat="1" ht="23.1" customHeight="1" x14ac:dyDescent="0.3">
      <c r="A1" s="104" t="s">
        <v>549</v>
      </c>
      <c r="B1" s="81" t="s">
        <v>9</v>
      </c>
      <c r="C1" s="121" t="s">
        <v>1245</v>
      </c>
      <c r="D1" s="30" t="s">
        <v>1158</v>
      </c>
      <c r="E1" s="40" t="s">
        <v>1157</v>
      </c>
      <c r="F1" s="40" t="s">
        <v>542</v>
      </c>
      <c r="G1" s="40" t="s">
        <v>1246</v>
      </c>
      <c r="H1" s="40" t="s">
        <v>1247</v>
      </c>
      <c r="I1" s="110" t="s">
        <v>1248</v>
      </c>
      <c r="J1" s="40" t="s">
        <v>1249</v>
      </c>
      <c r="K1" s="123" t="s">
        <v>1250</v>
      </c>
      <c r="L1" s="40" t="s">
        <v>1251</v>
      </c>
      <c r="M1" s="40" t="s">
        <v>1252</v>
      </c>
      <c r="N1" s="40" t="s">
        <v>1253</v>
      </c>
      <c r="O1" s="40" t="s">
        <v>1254</v>
      </c>
      <c r="P1" s="40" t="s">
        <v>1255</v>
      </c>
      <c r="Q1" s="40" t="s">
        <v>1256</v>
      </c>
      <c r="R1" s="41" t="s">
        <v>1257</v>
      </c>
      <c r="S1" s="41" t="s">
        <v>1258</v>
      </c>
    </row>
    <row r="2" spans="1:19" s="129" customFormat="1" x14ac:dyDescent="0.3">
      <c r="A2" s="129" t="s">
        <v>9</v>
      </c>
      <c r="B2" s="129" t="s">
        <v>1259</v>
      </c>
      <c r="C2" s="129" t="s">
        <v>42</v>
      </c>
      <c r="D2" s="129" t="s">
        <v>1317</v>
      </c>
      <c r="E2" s="129" t="s">
        <v>1317</v>
      </c>
      <c r="F2" s="129" t="s">
        <v>1285</v>
      </c>
      <c r="G2" s="129">
        <v>29</v>
      </c>
      <c r="H2" s="139"/>
      <c r="I2" s="129" t="s">
        <v>1286</v>
      </c>
      <c r="J2" s="129">
        <v>9</v>
      </c>
      <c r="K2" s="139"/>
      <c r="L2" s="129" t="s">
        <v>1287</v>
      </c>
      <c r="M2" s="129" t="s">
        <v>1288</v>
      </c>
      <c r="P2" s="129" t="s">
        <v>1289</v>
      </c>
      <c r="Q2" s="129" t="s">
        <v>36</v>
      </c>
    </row>
    <row r="3" spans="1:19" s="129" customFormat="1" x14ac:dyDescent="0.3">
      <c r="A3" s="129" t="s">
        <v>9</v>
      </c>
      <c r="B3" s="129" t="s">
        <v>1259</v>
      </c>
      <c r="C3" s="129" t="s">
        <v>1290</v>
      </c>
      <c r="D3" s="129" t="s">
        <v>1317</v>
      </c>
      <c r="E3" s="129" t="s">
        <v>1317</v>
      </c>
      <c r="F3" s="129" t="s">
        <v>1291</v>
      </c>
      <c r="G3" s="129">
        <v>35</v>
      </c>
      <c r="H3" s="139"/>
      <c r="I3" s="129" t="s">
        <v>1286</v>
      </c>
      <c r="J3" s="129">
        <v>9</v>
      </c>
      <c r="K3" s="139"/>
      <c r="L3" s="129" t="s">
        <v>1287</v>
      </c>
      <c r="M3" s="129" t="s">
        <v>1288</v>
      </c>
      <c r="P3" s="129" t="s">
        <v>1289</v>
      </c>
      <c r="Q3" s="129" t="s">
        <v>36</v>
      </c>
    </row>
    <row r="4" spans="1:19" s="129" customFormat="1" x14ac:dyDescent="0.3">
      <c r="A4" s="129" t="s">
        <v>9</v>
      </c>
      <c r="B4" s="129" t="s">
        <v>1259</v>
      </c>
      <c r="C4" s="129" t="s">
        <v>1292</v>
      </c>
      <c r="D4" s="129" t="s">
        <v>1317</v>
      </c>
      <c r="E4" s="129" t="s">
        <v>1317</v>
      </c>
      <c r="F4" s="129" t="s">
        <v>1293</v>
      </c>
      <c r="G4" s="129">
        <v>23</v>
      </c>
      <c r="H4" s="139"/>
      <c r="I4" s="129" t="s">
        <v>1286</v>
      </c>
      <c r="J4" s="129">
        <v>9</v>
      </c>
      <c r="K4" s="139"/>
      <c r="L4" s="129" t="s">
        <v>1287</v>
      </c>
      <c r="M4" s="129" t="s">
        <v>1288</v>
      </c>
      <c r="P4" s="129" t="s">
        <v>1289</v>
      </c>
      <c r="Q4" s="129" t="s">
        <v>36</v>
      </c>
    </row>
    <row r="5" spans="1:19" s="129" customFormat="1" x14ac:dyDescent="0.3">
      <c r="A5" s="129" t="s">
        <v>9</v>
      </c>
      <c r="B5" s="129" t="s">
        <v>1259</v>
      </c>
      <c r="C5" s="129" t="s">
        <v>1294</v>
      </c>
      <c r="D5" s="129" t="s">
        <v>1317</v>
      </c>
      <c r="E5" s="129" t="s">
        <v>1317</v>
      </c>
      <c r="F5" s="129" t="s">
        <v>1295</v>
      </c>
      <c r="G5" s="129">
        <v>34</v>
      </c>
      <c r="H5" s="139"/>
      <c r="I5" s="129" t="s">
        <v>1286</v>
      </c>
      <c r="J5" s="129">
        <v>9</v>
      </c>
      <c r="K5" s="139"/>
      <c r="L5" s="129" t="s">
        <v>1287</v>
      </c>
      <c r="M5" s="129" t="s">
        <v>1296</v>
      </c>
      <c r="P5" s="129" t="s">
        <v>487</v>
      </c>
      <c r="Q5" s="129" t="s">
        <v>36</v>
      </c>
    </row>
    <row r="6" spans="1:19" s="129" customFormat="1" x14ac:dyDescent="0.3">
      <c r="A6" s="129" t="s">
        <v>9</v>
      </c>
      <c r="B6" s="129" t="s">
        <v>1259</v>
      </c>
      <c r="C6" s="129" t="s">
        <v>1297</v>
      </c>
      <c r="D6" s="129" t="s">
        <v>1317</v>
      </c>
      <c r="E6" s="129" t="s">
        <v>1317</v>
      </c>
      <c r="F6" s="129" t="s">
        <v>1298</v>
      </c>
      <c r="G6" s="129">
        <v>20</v>
      </c>
      <c r="H6" s="139"/>
      <c r="I6" s="129" t="s">
        <v>1286</v>
      </c>
      <c r="J6" s="129">
        <v>9</v>
      </c>
      <c r="K6" s="139"/>
      <c r="L6" s="129" t="s">
        <v>1287</v>
      </c>
      <c r="M6" s="129" t="s">
        <v>1296</v>
      </c>
      <c r="P6" s="129" t="s">
        <v>487</v>
      </c>
      <c r="Q6" s="129" t="s">
        <v>36</v>
      </c>
    </row>
    <row r="7" spans="1:19" s="129" customFormat="1" x14ac:dyDescent="0.3">
      <c r="A7" s="129" t="s">
        <v>9</v>
      </c>
      <c r="B7" s="129" t="s">
        <v>1259</v>
      </c>
      <c r="C7" s="129" t="s">
        <v>1299</v>
      </c>
      <c r="D7" s="129" t="s">
        <v>1317</v>
      </c>
      <c r="E7" s="129" t="s">
        <v>1317</v>
      </c>
      <c r="F7" s="129" t="s">
        <v>1304</v>
      </c>
      <c r="G7" s="129">
        <v>29</v>
      </c>
      <c r="H7" s="139"/>
      <c r="I7" s="129" t="s">
        <v>1286</v>
      </c>
      <c r="J7" s="139">
        <v>9</v>
      </c>
      <c r="K7" s="139"/>
      <c r="L7" s="129" t="s">
        <v>1287</v>
      </c>
      <c r="M7" s="129" t="s">
        <v>1288</v>
      </c>
      <c r="P7" s="129" t="s">
        <v>1289</v>
      </c>
      <c r="Q7" s="129" t="s">
        <v>36</v>
      </c>
    </row>
    <row r="8" spans="1:19" s="129" customFormat="1" x14ac:dyDescent="0.3">
      <c r="A8" s="129" t="s">
        <v>9</v>
      </c>
      <c r="B8" s="129" t="s">
        <v>1259</v>
      </c>
      <c r="C8" s="129" t="s">
        <v>1301</v>
      </c>
      <c r="D8" s="129" t="s">
        <v>1317</v>
      </c>
      <c r="E8" s="129" t="s">
        <v>1317</v>
      </c>
      <c r="F8" s="129" t="s">
        <v>1318</v>
      </c>
      <c r="G8" s="129">
        <v>41</v>
      </c>
      <c r="H8" s="139"/>
      <c r="I8" s="129" t="s">
        <v>1286</v>
      </c>
      <c r="J8" s="139">
        <v>9</v>
      </c>
      <c r="K8" s="139"/>
      <c r="L8" s="129" t="s">
        <v>1287</v>
      </c>
      <c r="M8" s="129" t="s">
        <v>1288</v>
      </c>
      <c r="P8" s="129" t="s">
        <v>1289</v>
      </c>
      <c r="Q8" s="129" t="s">
        <v>36</v>
      </c>
    </row>
    <row r="9" spans="1:19" s="129" customFormat="1" x14ac:dyDescent="0.3">
      <c r="A9" s="129" t="s">
        <v>9</v>
      </c>
      <c r="B9" s="129" t="s">
        <v>1259</v>
      </c>
      <c r="C9" s="129" t="s">
        <v>1303</v>
      </c>
      <c r="D9" s="129" t="s">
        <v>1317</v>
      </c>
      <c r="E9" s="129" t="s">
        <v>1317</v>
      </c>
      <c r="F9" s="129" t="s">
        <v>1319</v>
      </c>
      <c r="G9" s="129">
        <v>29</v>
      </c>
      <c r="H9" s="139"/>
      <c r="I9" s="129" t="s">
        <v>1286</v>
      </c>
      <c r="J9" s="139">
        <v>9</v>
      </c>
      <c r="K9" s="139"/>
      <c r="L9" s="129" t="s">
        <v>1287</v>
      </c>
      <c r="M9" s="129" t="s">
        <v>1288</v>
      </c>
      <c r="P9" s="129" t="s">
        <v>1289</v>
      </c>
      <c r="Q9" s="129" t="s">
        <v>36</v>
      </c>
    </row>
    <row r="10" spans="1:19" s="129" customFormat="1" x14ac:dyDescent="0.3">
      <c r="A10" s="129" t="s">
        <v>9</v>
      </c>
      <c r="B10" s="129" t="s">
        <v>1259</v>
      </c>
      <c r="C10" s="129" t="s">
        <v>1305</v>
      </c>
      <c r="D10" s="129" t="s">
        <v>1317</v>
      </c>
      <c r="E10" s="129" t="s">
        <v>1317</v>
      </c>
      <c r="F10" s="129" t="s">
        <v>1306</v>
      </c>
      <c r="G10" s="129">
        <v>35</v>
      </c>
      <c r="H10" s="139"/>
      <c r="I10" s="129" t="s">
        <v>1286</v>
      </c>
      <c r="J10" s="139">
        <v>9</v>
      </c>
      <c r="K10" s="139"/>
      <c r="L10" s="129" t="s">
        <v>1287</v>
      </c>
      <c r="M10" s="129" t="s">
        <v>1288</v>
      </c>
      <c r="P10" s="129" t="s">
        <v>1289</v>
      </c>
      <c r="Q10" s="129" t="s">
        <v>36</v>
      </c>
    </row>
    <row r="11" spans="1:19" s="129" customFormat="1" x14ac:dyDescent="0.3">
      <c r="A11" s="129" t="s">
        <v>9</v>
      </c>
      <c r="B11" s="129" t="s">
        <v>1259</v>
      </c>
      <c r="C11" s="129" t="s">
        <v>1307</v>
      </c>
      <c r="D11" s="129" t="s">
        <v>1317</v>
      </c>
      <c r="E11" s="129" t="s">
        <v>1317</v>
      </c>
      <c r="F11" s="129" t="s">
        <v>1302</v>
      </c>
      <c r="G11" s="129">
        <v>26</v>
      </c>
      <c r="H11" s="139"/>
      <c r="I11" s="129" t="s">
        <v>1286</v>
      </c>
      <c r="J11" s="129">
        <v>9</v>
      </c>
      <c r="K11" s="139"/>
      <c r="L11" s="129" t="s">
        <v>1287</v>
      </c>
      <c r="M11" s="129" t="s">
        <v>1288</v>
      </c>
      <c r="P11" s="129" t="s">
        <v>1289</v>
      </c>
      <c r="Q11" s="129" t="s">
        <v>36</v>
      </c>
    </row>
    <row r="12" spans="1:19" s="129" customFormat="1" x14ac:dyDescent="0.3">
      <c r="A12" s="129" t="s">
        <v>9</v>
      </c>
      <c r="B12" s="129" t="s">
        <v>1259</v>
      </c>
      <c r="C12" s="129" t="s">
        <v>1315</v>
      </c>
      <c r="D12" s="129" t="s">
        <v>1317</v>
      </c>
      <c r="E12" s="129" t="s">
        <v>1317</v>
      </c>
      <c r="F12" s="129" t="s">
        <v>1300</v>
      </c>
      <c r="G12" s="129">
        <v>26</v>
      </c>
      <c r="H12" s="139"/>
      <c r="I12" s="129" t="s">
        <v>1286</v>
      </c>
      <c r="J12" s="139">
        <v>9</v>
      </c>
      <c r="K12" s="139"/>
      <c r="L12" s="129" t="s">
        <v>1287</v>
      </c>
      <c r="M12" s="129" t="s">
        <v>1288</v>
      </c>
      <c r="P12" s="129" t="s">
        <v>1289</v>
      </c>
      <c r="Q12" s="129" t="s">
        <v>36</v>
      </c>
    </row>
    <row r="13" spans="1:19" s="129" customFormat="1" x14ac:dyDescent="0.3">
      <c r="A13" s="129" t="s">
        <v>9</v>
      </c>
      <c r="B13" s="129" t="s">
        <v>1259</v>
      </c>
      <c r="C13" s="129" t="s">
        <v>1320</v>
      </c>
      <c r="D13" s="129" t="s">
        <v>1317</v>
      </c>
      <c r="E13" s="129" t="s">
        <v>1317</v>
      </c>
      <c r="F13" s="129" t="s">
        <v>1316</v>
      </c>
      <c r="G13" s="129">
        <v>20</v>
      </c>
      <c r="H13" s="139"/>
      <c r="I13" s="129" t="s">
        <v>1286</v>
      </c>
      <c r="J13" s="139">
        <v>9</v>
      </c>
      <c r="K13" s="139"/>
      <c r="L13" s="129" t="s">
        <v>1287</v>
      </c>
      <c r="M13" s="129" t="s">
        <v>1288</v>
      </c>
      <c r="P13" s="129" t="s">
        <v>1289</v>
      </c>
      <c r="Q13" s="129" t="s">
        <v>36</v>
      </c>
    </row>
    <row r="14" spans="1:19" s="129" customFormat="1" x14ac:dyDescent="0.3">
      <c r="A14" s="129" t="s">
        <v>9</v>
      </c>
      <c r="B14" s="129" t="s">
        <v>1259</v>
      </c>
      <c r="C14" s="129" t="s">
        <v>1321</v>
      </c>
      <c r="D14" s="129" t="s">
        <v>1317</v>
      </c>
      <c r="E14" s="129" t="s">
        <v>1317</v>
      </c>
      <c r="F14" s="129" t="s">
        <v>1314</v>
      </c>
      <c r="G14" s="129">
        <v>26</v>
      </c>
      <c r="H14" s="139"/>
      <c r="I14" s="129" t="s">
        <v>1286</v>
      </c>
      <c r="J14" s="139">
        <v>9</v>
      </c>
      <c r="K14" s="139"/>
      <c r="L14" s="129" t="s">
        <v>1287</v>
      </c>
      <c r="M14" s="129" t="s">
        <v>1288</v>
      </c>
      <c r="P14" s="129" t="s">
        <v>1289</v>
      </c>
      <c r="Q14" s="129" t="s">
        <v>36</v>
      </c>
    </row>
    <row r="15" spans="1:19" s="129" customFormat="1" x14ac:dyDescent="0.3">
      <c r="A15" s="129" t="s">
        <v>9</v>
      </c>
      <c r="B15" s="129" t="s">
        <v>1259</v>
      </c>
      <c r="C15" s="129" t="s">
        <v>1322</v>
      </c>
      <c r="D15" s="129" t="s">
        <v>1317</v>
      </c>
      <c r="E15" s="129" t="s">
        <v>1317</v>
      </c>
      <c r="F15" s="129" t="s">
        <v>1312</v>
      </c>
      <c r="G15" s="129">
        <v>32</v>
      </c>
      <c r="H15" s="139"/>
      <c r="I15" s="129" t="s">
        <v>1286</v>
      </c>
      <c r="J15" s="139">
        <v>9</v>
      </c>
      <c r="K15" s="139"/>
      <c r="L15" s="129" t="s">
        <v>1287</v>
      </c>
      <c r="M15" s="129" t="s">
        <v>1288</v>
      </c>
      <c r="P15" s="129" t="s">
        <v>1289</v>
      </c>
      <c r="Q15" s="129" t="s">
        <v>36</v>
      </c>
    </row>
    <row r="16" spans="1:19" s="129" customFormat="1" x14ac:dyDescent="0.3">
      <c r="A16" s="129" t="s">
        <v>9</v>
      </c>
      <c r="B16" s="129" t="s">
        <v>1259</v>
      </c>
      <c r="C16" s="129" t="s">
        <v>1323</v>
      </c>
      <c r="D16" s="129" t="s">
        <v>1317</v>
      </c>
      <c r="E16" s="129" t="s">
        <v>1317</v>
      </c>
      <c r="F16" s="129" t="s">
        <v>1310</v>
      </c>
      <c r="G16" s="129">
        <v>23</v>
      </c>
      <c r="H16" s="139"/>
      <c r="I16" s="129" t="s">
        <v>1286</v>
      </c>
      <c r="J16" s="139">
        <v>9</v>
      </c>
      <c r="K16" s="139"/>
      <c r="L16" s="129" t="s">
        <v>1287</v>
      </c>
      <c r="M16" s="129" t="s">
        <v>1288</v>
      </c>
      <c r="P16" s="129" t="s">
        <v>1289</v>
      </c>
      <c r="Q16" s="129" t="s">
        <v>36</v>
      </c>
    </row>
    <row r="261" spans="6:13" x14ac:dyDescent="0.3">
      <c r="K261" s="131"/>
    </row>
    <row r="262" spans="6:13" x14ac:dyDescent="0.3">
      <c r="F262" s="21"/>
      <c r="G262" s="111"/>
      <c r="H262" s="111"/>
      <c r="I262" s="111"/>
      <c r="J262" s="112"/>
      <c r="K262" s="124"/>
      <c r="L262" s="111"/>
      <c r="M262" s="111"/>
    </row>
    <row r="371" spans="9:9" x14ac:dyDescent="0.3">
      <c r="I371" s="129"/>
    </row>
    <row r="372" spans="9:9" x14ac:dyDescent="0.3">
      <c r="I372" s="129"/>
    </row>
    <row r="452" spans="6:13" ht="13.95" customHeight="1" x14ac:dyDescent="0.3"/>
    <row r="454" spans="6:13" x14ac:dyDescent="0.3">
      <c r="I454" s="129"/>
    </row>
    <row r="455" spans="6:13" x14ac:dyDescent="0.3">
      <c r="I455" s="129"/>
    </row>
    <row r="458" spans="6:13" x14ac:dyDescent="0.3">
      <c r="F458" s="21"/>
      <c r="G458" s="111"/>
      <c r="H458" s="111"/>
      <c r="I458" s="111"/>
      <c r="J458" s="112"/>
      <c r="K458" s="124"/>
      <c r="L458" s="111"/>
      <c r="M458" s="111"/>
    </row>
    <row r="477" spans="1:11" s="132" customFormat="1" x14ac:dyDescent="0.3">
      <c r="A477" s="133"/>
      <c r="H477" s="134"/>
      <c r="J477" s="135"/>
      <c r="K477" s="134"/>
    </row>
    <row r="478" spans="1:11" s="132" customFormat="1" x14ac:dyDescent="0.3">
      <c r="A478" s="133"/>
      <c r="H478" s="134"/>
      <c r="J478" s="135"/>
      <c r="K478" s="134"/>
    </row>
    <row r="479" spans="1:11" s="132" customFormat="1" x14ac:dyDescent="0.3">
      <c r="A479" s="133"/>
      <c r="K479" s="134"/>
    </row>
    <row r="480" spans="1:11" s="132" customFormat="1" x14ac:dyDescent="0.3">
      <c r="A480" s="133"/>
      <c r="K480" s="134"/>
    </row>
    <row r="481" spans="1:17" x14ac:dyDescent="0.3">
      <c r="A481" s="133"/>
      <c r="C481" s="132"/>
      <c r="D481" s="132"/>
      <c r="E481" s="132"/>
      <c r="F481" s="132"/>
      <c r="L481" s="132"/>
      <c r="M481" s="132"/>
      <c r="P481" s="132"/>
      <c r="Q481" s="132"/>
    </row>
    <row r="482" spans="1:17" x14ac:dyDescent="0.3">
      <c r="A482" s="133"/>
      <c r="C482" s="132"/>
      <c r="D482" s="132"/>
      <c r="E482" s="132"/>
      <c r="F482" s="132"/>
      <c r="L482" s="132"/>
      <c r="M482" s="132"/>
      <c r="P482" s="132"/>
      <c r="Q482" s="132"/>
    </row>
    <row r="483" spans="1:17" x14ac:dyDescent="0.3">
      <c r="A483" s="133"/>
      <c r="C483" s="132"/>
      <c r="D483" s="132"/>
      <c r="E483" s="132"/>
      <c r="F483" s="132"/>
      <c r="L483" s="132"/>
      <c r="M483" s="132"/>
      <c r="P483" s="132"/>
      <c r="Q483" s="132"/>
    </row>
    <row r="484" spans="1:17" x14ac:dyDescent="0.3">
      <c r="A484" s="133"/>
      <c r="C484" s="132"/>
      <c r="D484" s="132"/>
      <c r="E484" s="132"/>
      <c r="F484" s="132"/>
      <c r="L484" s="132"/>
      <c r="M484" s="132"/>
      <c r="P484" s="132"/>
      <c r="Q484" s="132"/>
    </row>
    <row r="485" spans="1:17" x14ac:dyDescent="0.3">
      <c r="A485" s="133"/>
      <c r="C485" s="132"/>
      <c r="D485" s="132"/>
      <c r="E485" s="132"/>
      <c r="F485" s="132"/>
      <c r="L485" s="132"/>
      <c r="M485" s="132"/>
      <c r="P485" s="132"/>
      <c r="Q485" s="132"/>
    </row>
    <row r="486" spans="1:17" x14ac:dyDescent="0.3">
      <c r="A486" s="133"/>
      <c r="C486" s="132"/>
      <c r="D486" s="132"/>
      <c r="E486" s="132"/>
      <c r="F486" s="132"/>
      <c r="L486" s="132"/>
      <c r="M486" s="132"/>
      <c r="P486" s="132"/>
      <c r="Q486" s="132"/>
    </row>
    <row r="487" spans="1:17" x14ac:dyDescent="0.3">
      <c r="A487" s="133"/>
      <c r="C487" s="132"/>
      <c r="D487" s="132"/>
      <c r="E487" s="132"/>
      <c r="F487" s="132"/>
      <c r="L487" s="132"/>
      <c r="M487" s="132"/>
      <c r="P487" s="132"/>
      <c r="Q487" s="132"/>
    </row>
    <row r="488" spans="1:17" x14ac:dyDescent="0.3">
      <c r="A488" s="133"/>
      <c r="C488" s="132"/>
      <c r="D488" s="132"/>
      <c r="E488" s="132"/>
      <c r="F488" s="132"/>
      <c r="L488" s="132"/>
      <c r="M488" s="132"/>
      <c r="P488" s="132"/>
      <c r="Q488" s="132"/>
    </row>
    <row r="489" spans="1:17" x14ac:dyDescent="0.3">
      <c r="A489" s="133"/>
      <c r="C489" s="132"/>
      <c r="D489" s="132"/>
      <c r="E489" s="132"/>
      <c r="F489" s="132"/>
      <c r="L489" s="132"/>
      <c r="M489" s="132"/>
      <c r="P489" s="132"/>
      <c r="Q489" s="132"/>
    </row>
    <row r="490" spans="1:17" x14ac:dyDescent="0.3">
      <c r="A490" s="133"/>
      <c r="C490" s="132"/>
      <c r="D490" s="132"/>
      <c r="E490" s="132"/>
      <c r="F490" s="132"/>
      <c r="L490" s="132"/>
      <c r="M490" s="132"/>
      <c r="P490" s="132"/>
      <c r="Q490" s="132"/>
    </row>
    <row r="491" spans="1:17" x14ac:dyDescent="0.3">
      <c r="A491" s="133"/>
      <c r="C491" s="132"/>
      <c r="D491" s="132"/>
      <c r="E491" s="132"/>
      <c r="F491" s="132"/>
      <c r="L491" s="132"/>
      <c r="M491" s="132"/>
      <c r="P491" s="132"/>
      <c r="Q491" s="132"/>
    </row>
    <row r="492" spans="1:17" x14ac:dyDescent="0.3">
      <c r="A492" s="133"/>
      <c r="C492" s="132"/>
      <c r="D492" s="132"/>
      <c r="E492" s="132"/>
      <c r="F492" s="132"/>
      <c r="L492" s="132"/>
      <c r="M492" s="132"/>
      <c r="P492" s="132"/>
      <c r="Q492" s="132"/>
    </row>
    <row r="493" spans="1:17" x14ac:dyDescent="0.3">
      <c r="A493" s="133"/>
      <c r="C493" s="132"/>
      <c r="D493" s="132"/>
      <c r="E493" s="132"/>
      <c r="F493" s="132"/>
      <c r="L493" s="132"/>
      <c r="M493" s="132"/>
      <c r="P493" s="132"/>
      <c r="Q493" s="132"/>
    </row>
    <row r="494" spans="1:17" x14ac:dyDescent="0.3">
      <c r="A494" s="133"/>
      <c r="C494" s="132"/>
      <c r="D494" s="132"/>
      <c r="E494" s="132"/>
      <c r="F494" s="132"/>
      <c r="L494" s="132"/>
      <c r="M494" s="132"/>
      <c r="P494" s="132"/>
      <c r="Q494" s="132"/>
    </row>
    <row r="495" spans="1:17" x14ac:dyDescent="0.3">
      <c r="A495" s="133"/>
      <c r="C495" s="132"/>
      <c r="D495" s="132"/>
      <c r="E495" s="132"/>
      <c r="F495" s="132"/>
      <c r="L495" s="132"/>
      <c r="M495" s="132"/>
      <c r="P495" s="132"/>
      <c r="Q495" s="132"/>
    </row>
    <row r="496" spans="1:17" x14ac:dyDescent="0.3">
      <c r="A496" s="133"/>
      <c r="D496" s="132"/>
      <c r="E496" s="132"/>
      <c r="F496" s="132"/>
    </row>
    <row r="497" spans="1:6" x14ac:dyDescent="0.3">
      <c r="A497" s="133"/>
      <c r="D497" s="132"/>
      <c r="E497" s="132"/>
      <c r="F497" s="132"/>
    </row>
    <row r="498" spans="1:6" x14ac:dyDescent="0.3">
      <c r="A498" s="133"/>
      <c r="D498" s="132"/>
      <c r="E498" s="132"/>
      <c r="F498" s="132"/>
    </row>
    <row r="499" spans="1:6" x14ac:dyDescent="0.3">
      <c r="A499" s="133"/>
      <c r="D499" s="132"/>
      <c r="E499" s="132"/>
      <c r="F499" s="132"/>
    </row>
    <row r="500" spans="1:6" x14ac:dyDescent="0.3">
      <c r="A500" s="133"/>
      <c r="D500" s="132"/>
      <c r="E500" s="132"/>
      <c r="F500" s="132"/>
    </row>
    <row r="501" spans="1:6" x14ac:dyDescent="0.3">
      <c r="A501" s="133"/>
      <c r="D501" s="132"/>
      <c r="E501" s="132"/>
      <c r="F501" s="132"/>
    </row>
    <row r="502" spans="1:6" x14ac:dyDescent="0.3">
      <c r="A502" s="133"/>
      <c r="D502" s="132"/>
      <c r="E502" s="132"/>
      <c r="F502" s="132"/>
    </row>
    <row r="503" spans="1:6" x14ac:dyDescent="0.3">
      <c r="A503" s="133"/>
      <c r="D503" s="132"/>
      <c r="E503" s="132"/>
      <c r="F503" s="132"/>
    </row>
    <row r="504" spans="1:6" x14ac:dyDescent="0.3">
      <c r="A504" s="133"/>
      <c r="D504" s="132"/>
      <c r="E504" s="132"/>
      <c r="F504" s="132"/>
    </row>
    <row r="505" spans="1:6" x14ac:dyDescent="0.3">
      <c r="A505" s="133"/>
      <c r="D505" s="132"/>
      <c r="E505" s="132"/>
      <c r="F505" s="132"/>
    </row>
    <row r="506" spans="1:6" x14ac:dyDescent="0.3">
      <c r="A506" s="133"/>
      <c r="D506" s="132"/>
      <c r="E506" s="132"/>
      <c r="F506" s="132"/>
    </row>
    <row r="507" spans="1:6" x14ac:dyDescent="0.3">
      <c r="A507" s="133"/>
      <c r="D507" s="132"/>
      <c r="E507" s="132"/>
      <c r="F507" s="132"/>
    </row>
    <row r="508" spans="1:6" x14ac:dyDescent="0.3">
      <c r="A508" s="133"/>
      <c r="D508" s="132"/>
      <c r="E508" s="132"/>
      <c r="F508" s="132"/>
    </row>
    <row r="509" spans="1:6" x14ac:dyDescent="0.3">
      <c r="A509" s="133"/>
      <c r="D509" s="132"/>
      <c r="E509" s="132"/>
      <c r="F509" s="132"/>
    </row>
    <row r="510" spans="1:6" x14ac:dyDescent="0.3">
      <c r="A510" s="133"/>
      <c r="D510" s="132"/>
      <c r="E510" s="132"/>
      <c r="F510" s="132"/>
    </row>
    <row r="511" spans="1:6" x14ac:dyDescent="0.3">
      <c r="A511" s="133"/>
      <c r="D511" s="132"/>
      <c r="E511" s="132"/>
      <c r="F511" s="132"/>
    </row>
    <row r="512" spans="1:6" x14ac:dyDescent="0.3">
      <c r="A512" s="133"/>
      <c r="D512" s="132"/>
      <c r="E512" s="132"/>
      <c r="F512" s="132"/>
    </row>
    <row r="513" spans="1:6" x14ac:dyDescent="0.3">
      <c r="A513" s="133"/>
      <c r="D513" s="132"/>
      <c r="E513" s="132"/>
      <c r="F513" s="132"/>
    </row>
    <row r="514" spans="1:6" x14ac:dyDescent="0.3">
      <c r="A514" s="133"/>
      <c r="D514" s="132"/>
      <c r="E514" s="132"/>
      <c r="F514" s="132"/>
    </row>
    <row r="515" spans="1:6" x14ac:dyDescent="0.3">
      <c r="A515" s="133"/>
      <c r="D515" s="132"/>
      <c r="E515" s="132"/>
      <c r="F515" s="132"/>
    </row>
    <row r="516" spans="1:6" x14ac:dyDescent="0.3">
      <c r="A516" s="133"/>
      <c r="D516" s="132"/>
      <c r="E516" s="132"/>
      <c r="F516" s="132"/>
    </row>
    <row r="517" spans="1:6" x14ac:dyDescent="0.3">
      <c r="A517" s="133"/>
      <c r="D517" s="132"/>
      <c r="E517" s="132"/>
      <c r="F517" s="132"/>
    </row>
    <row r="518" spans="1:6" x14ac:dyDescent="0.3">
      <c r="A518" s="133"/>
      <c r="D518" s="132"/>
      <c r="E518" s="132"/>
      <c r="F518" s="132"/>
    </row>
    <row r="519" spans="1:6" x14ac:dyDescent="0.3">
      <c r="A519" s="133"/>
      <c r="D519" s="132"/>
      <c r="E519" s="132"/>
      <c r="F519" s="132"/>
    </row>
    <row r="520" spans="1:6" x14ac:dyDescent="0.3">
      <c r="A520" s="133"/>
      <c r="D520" s="132"/>
      <c r="E520" s="132"/>
      <c r="F520" s="132"/>
    </row>
    <row r="521" spans="1:6" x14ac:dyDescent="0.3">
      <c r="A521" s="133"/>
      <c r="D521" s="132"/>
      <c r="E521" s="132"/>
      <c r="F521" s="132"/>
    </row>
    <row r="522" spans="1:6" x14ac:dyDescent="0.3">
      <c r="A522" s="133"/>
      <c r="D522" s="132"/>
      <c r="E522" s="132"/>
      <c r="F522" s="132"/>
    </row>
    <row r="523" spans="1:6" x14ac:dyDescent="0.3">
      <c r="A523" s="133"/>
      <c r="D523" s="132"/>
      <c r="E523" s="132"/>
      <c r="F523" s="132"/>
    </row>
    <row r="524" spans="1:6" x14ac:dyDescent="0.3">
      <c r="A524" s="133"/>
      <c r="D524" s="132"/>
      <c r="E524" s="132"/>
      <c r="F524" s="132"/>
    </row>
    <row r="525" spans="1:6" x14ac:dyDescent="0.3">
      <c r="A525" s="133"/>
      <c r="D525" s="132"/>
      <c r="E525" s="132"/>
      <c r="F525" s="132"/>
    </row>
    <row r="526" spans="1:6" x14ac:dyDescent="0.3">
      <c r="A526" s="133"/>
      <c r="D526" s="132"/>
      <c r="E526" s="132"/>
      <c r="F526" s="132"/>
    </row>
    <row r="527" spans="1:6" x14ac:dyDescent="0.3">
      <c r="A527" s="133"/>
      <c r="D527" s="132"/>
      <c r="E527" s="132"/>
      <c r="F527" s="132"/>
    </row>
    <row r="528" spans="1:6" x14ac:dyDescent="0.3">
      <c r="A528" s="133"/>
      <c r="D528" s="132"/>
      <c r="E528" s="132"/>
      <c r="F528" s="132"/>
    </row>
    <row r="529" spans="1:6" x14ac:dyDescent="0.3">
      <c r="A529" s="133"/>
      <c r="D529" s="132"/>
      <c r="E529" s="132"/>
      <c r="F529" s="132"/>
    </row>
    <row r="530" spans="1:6" x14ac:dyDescent="0.3">
      <c r="A530" s="133"/>
      <c r="D530" s="132"/>
      <c r="E530" s="132"/>
      <c r="F530" s="132"/>
    </row>
    <row r="531" spans="1:6" x14ac:dyDescent="0.3">
      <c r="A531" s="133"/>
      <c r="D531" s="132"/>
      <c r="E531" s="132"/>
      <c r="F531" s="132"/>
    </row>
    <row r="532" spans="1:6" x14ac:dyDescent="0.3">
      <c r="A532" s="133"/>
      <c r="D532" s="132"/>
      <c r="E532" s="132"/>
      <c r="F532" s="132"/>
    </row>
    <row r="533" spans="1:6" x14ac:dyDescent="0.3">
      <c r="A533" s="133"/>
      <c r="D533" s="132"/>
      <c r="E533" s="132"/>
      <c r="F533" s="132"/>
    </row>
    <row r="534" spans="1:6" x14ac:dyDescent="0.3">
      <c r="A534" s="133"/>
      <c r="D534" s="132"/>
      <c r="E534" s="132"/>
      <c r="F534" s="132"/>
    </row>
    <row r="535" spans="1:6" x14ac:dyDescent="0.3">
      <c r="A535" s="133"/>
      <c r="D535" s="132"/>
      <c r="E535" s="132"/>
      <c r="F535" s="132"/>
    </row>
    <row r="536" spans="1:6" x14ac:dyDescent="0.3">
      <c r="A536" s="133"/>
      <c r="D536" s="132"/>
      <c r="E536" s="132"/>
      <c r="F536" s="132"/>
    </row>
    <row r="537" spans="1:6" x14ac:dyDescent="0.3">
      <c r="A537" s="133"/>
      <c r="D537" s="132"/>
      <c r="E537" s="132"/>
      <c r="F537" s="132"/>
    </row>
    <row r="538" spans="1:6" x14ac:dyDescent="0.3">
      <c r="A538" s="133"/>
      <c r="D538" s="132"/>
      <c r="E538" s="132"/>
      <c r="F538" s="132"/>
    </row>
    <row r="539" spans="1:6" x14ac:dyDescent="0.3">
      <c r="A539" s="133"/>
      <c r="D539" s="132"/>
      <c r="E539" s="132"/>
      <c r="F539" s="132"/>
    </row>
    <row r="540" spans="1:6" x14ac:dyDescent="0.3">
      <c r="A540" s="133"/>
      <c r="D540" s="132"/>
      <c r="E540" s="132"/>
      <c r="F540" s="132"/>
    </row>
    <row r="541" spans="1:6" x14ac:dyDescent="0.3">
      <c r="A541" s="133"/>
      <c r="D541" s="132"/>
      <c r="E541" s="132"/>
      <c r="F541" s="132"/>
    </row>
    <row r="542" spans="1:6" x14ac:dyDescent="0.3">
      <c r="A542" s="133"/>
      <c r="D542" s="132"/>
      <c r="E542" s="132"/>
      <c r="F542" s="132"/>
    </row>
    <row r="543" spans="1:6" x14ac:dyDescent="0.3">
      <c r="A543" s="133"/>
      <c r="D543" s="132"/>
      <c r="E543" s="132"/>
      <c r="F543" s="132"/>
    </row>
    <row r="544" spans="1:6" x14ac:dyDescent="0.3">
      <c r="A544" s="133"/>
      <c r="D544" s="132"/>
      <c r="E544" s="132"/>
      <c r="F544" s="132"/>
    </row>
    <row r="545" spans="1:6" x14ac:dyDescent="0.3">
      <c r="A545" s="133"/>
      <c r="D545" s="132"/>
      <c r="E545" s="132"/>
      <c r="F545" s="132"/>
    </row>
    <row r="546" spans="1:6" x14ac:dyDescent="0.3">
      <c r="A546" s="133"/>
      <c r="D546" s="132"/>
      <c r="E546" s="132"/>
      <c r="F546" s="132"/>
    </row>
    <row r="547" spans="1:6" x14ac:dyDescent="0.3">
      <c r="A547" s="133"/>
      <c r="D547" s="132"/>
      <c r="E547" s="132"/>
      <c r="F547" s="132"/>
    </row>
    <row r="548" spans="1:6" x14ac:dyDescent="0.3">
      <c r="A548" s="133"/>
      <c r="D548" s="132"/>
      <c r="E548" s="132"/>
      <c r="F548" s="132"/>
    </row>
    <row r="549" spans="1:6" x14ac:dyDescent="0.3">
      <c r="A549" s="133"/>
      <c r="D549" s="132"/>
      <c r="E549" s="132"/>
      <c r="F549" s="132"/>
    </row>
    <row r="550" spans="1:6" x14ac:dyDescent="0.3">
      <c r="A550" s="133"/>
      <c r="D550" s="132"/>
      <c r="E550" s="132"/>
      <c r="F550" s="132"/>
    </row>
    <row r="551" spans="1:6" x14ac:dyDescent="0.3">
      <c r="A551" s="133"/>
      <c r="D551" s="132"/>
      <c r="E551" s="132"/>
      <c r="F551" s="132"/>
    </row>
    <row r="552" spans="1:6" x14ac:dyDescent="0.3">
      <c r="A552" s="133"/>
      <c r="D552" s="132"/>
      <c r="E552" s="132"/>
      <c r="F552" s="132"/>
    </row>
    <row r="553" spans="1:6" x14ac:dyDescent="0.3">
      <c r="A553" s="133"/>
      <c r="D553" s="132"/>
      <c r="E553" s="132"/>
      <c r="F553" s="132"/>
    </row>
    <row r="554" spans="1:6" x14ac:dyDescent="0.3">
      <c r="A554" s="133"/>
      <c r="D554" s="132"/>
      <c r="E554" s="132"/>
      <c r="F554" s="132"/>
    </row>
    <row r="555" spans="1:6" x14ac:dyDescent="0.3">
      <c r="A555" s="133"/>
      <c r="D555" s="132"/>
      <c r="E555" s="132"/>
      <c r="F555" s="132"/>
    </row>
    <row r="556" spans="1:6" x14ac:dyDescent="0.3">
      <c r="A556" s="133"/>
      <c r="D556" s="132"/>
      <c r="E556" s="132"/>
      <c r="F556" s="132"/>
    </row>
    <row r="557" spans="1:6" x14ac:dyDescent="0.3">
      <c r="A557" s="133"/>
      <c r="D557" s="132"/>
      <c r="E557" s="132"/>
      <c r="F557" s="132"/>
    </row>
    <row r="558" spans="1:6" x14ac:dyDescent="0.3">
      <c r="A558" s="133"/>
      <c r="D558" s="132"/>
      <c r="E558" s="132"/>
      <c r="F558" s="132"/>
    </row>
    <row r="559" spans="1:6" x14ac:dyDescent="0.3">
      <c r="A559" s="133"/>
      <c r="D559" s="132"/>
      <c r="E559" s="132"/>
      <c r="F559" s="132"/>
    </row>
    <row r="560" spans="1:6" x14ac:dyDescent="0.3">
      <c r="A560" s="133"/>
      <c r="D560" s="132"/>
      <c r="E560" s="132"/>
      <c r="F560" s="132"/>
    </row>
    <row r="561" spans="1:6" x14ac:dyDescent="0.3">
      <c r="A561" s="133"/>
      <c r="D561" s="132"/>
      <c r="E561" s="132"/>
      <c r="F561" s="132"/>
    </row>
    <row r="562" spans="1:6" x14ac:dyDescent="0.3">
      <c r="A562" s="133"/>
      <c r="D562" s="132"/>
      <c r="E562" s="132"/>
      <c r="F562" s="132"/>
    </row>
    <row r="563" spans="1:6" x14ac:dyDescent="0.3">
      <c r="A563" s="133"/>
      <c r="D563" s="132"/>
      <c r="E563" s="132"/>
      <c r="F563" s="132"/>
    </row>
    <row r="564" spans="1:6" x14ac:dyDescent="0.3">
      <c r="A564" s="133"/>
      <c r="D564" s="132"/>
      <c r="E564" s="132"/>
      <c r="F564" s="132"/>
    </row>
    <row r="565" spans="1:6" x14ac:dyDescent="0.3">
      <c r="A565" s="133"/>
      <c r="D565" s="132"/>
      <c r="E565" s="132"/>
      <c r="F565" s="132"/>
    </row>
    <row r="566" spans="1:6" x14ac:dyDescent="0.3">
      <c r="A566" s="133"/>
      <c r="D566" s="132"/>
      <c r="E566" s="132"/>
      <c r="F566" s="132"/>
    </row>
    <row r="567" spans="1:6" x14ac:dyDescent="0.3">
      <c r="A567" s="133"/>
      <c r="D567" s="132"/>
      <c r="E567" s="132"/>
      <c r="F567" s="132"/>
    </row>
    <row r="568" spans="1:6" x14ac:dyDescent="0.3">
      <c r="A568" s="133"/>
      <c r="D568" s="132"/>
      <c r="E568" s="132"/>
      <c r="F568" s="132"/>
    </row>
    <row r="569" spans="1:6" x14ac:dyDescent="0.3">
      <c r="A569" s="133"/>
      <c r="D569" s="132"/>
      <c r="E569" s="132"/>
      <c r="F569" s="132"/>
    </row>
    <row r="570" spans="1:6" x14ac:dyDescent="0.3">
      <c r="A570" s="133"/>
      <c r="D570" s="132"/>
      <c r="E570" s="132"/>
      <c r="F570" s="132"/>
    </row>
    <row r="571" spans="1:6" x14ac:dyDescent="0.3">
      <c r="A571" s="133"/>
      <c r="D571" s="132"/>
      <c r="E571" s="132"/>
      <c r="F571" s="132"/>
    </row>
    <row r="572" spans="1:6" x14ac:dyDescent="0.3">
      <c r="A572" s="133"/>
      <c r="D572" s="132"/>
      <c r="E572" s="132"/>
      <c r="F572" s="132"/>
    </row>
    <row r="573" spans="1:6" x14ac:dyDescent="0.3">
      <c r="A573" s="133"/>
      <c r="D573" s="132"/>
      <c r="E573" s="132"/>
      <c r="F573" s="132"/>
    </row>
    <row r="574" spans="1:6" x14ac:dyDescent="0.3">
      <c r="A574" s="133"/>
      <c r="D574" s="132"/>
      <c r="E574" s="132"/>
      <c r="F574" s="132"/>
    </row>
    <row r="575" spans="1:6" x14ac:dyDescent="0.3">
      <c r="A575" s="133"/>
      <c r="D575" s="132"/>
      <c r="E575" s="132"/>
      <c r="F575" s="132"/>
    </row>
    <row r="576" spans="1:6" x14ac:dyDescent="0.3">
      <c r="A576" s="133"/>
      <c r="D576" s="132"/>
      <c r="E576" s="132"/>
      <c r="F576" s="132"/>
    </row>
    <row r="577" spans="1:17" x14ac:dyDescent="0.3">
      <c r="A577" s="133"/>
      <c r="D577" s="132"/>
      <c r="E577" s="132"/>
      <c r="F577" s="132"/>
    </row>
    <row r="578" spans="1:17" x14ac:dyDescent="0.3">
      <c r="A578" s="133"/>
      <c r="D578" s="132"/>
      <c r="E578" s="132"/>
      <c r="F578" s="132"/>
    </row>
    <row r="579" spans="1:17" x14ac:dyDescent="0.3">
      <c r="A579" s="133"/>
      <c r="D579" s="132"/>
      <c r="E579" s="132"/>
      <c r="F579" s="132"/>
    </row>
    <row r="580" spans="1:17" x14ac:dyDescent="0.3">
      <c r="A580" s="133"/>
      <c r="D580" s="132"/>
      <c r="E580" s="132"/>
      <c r="F580" s="132"/>
    </row>
    <row r="581" spans="1:17" x14ac:dyDescent="0.3">
      <c r="A581" s="133"/>
      <c r="D581" s="132"/>
      <c r="E581" s="132"/>
      <c r="F581" s="132"/>
    </row>
    <row r="582" spans="1:17" s="132" customFormat="1" x14ac:dyDescent="0.3">
      <c r="A582" s="133"/>
      <c r="H582" s="134"/>
      <c r="J582" s="135"/>
      <c r="K582" s="134"/>
    </row>
    <row r="583" spans="1:17" s="132" customFormat="1" x14ac:dyDescent="0.3">
      <c r="A583" s="133"/>
      <c r="H583" s="134"/>
      <c r="J583" s="135"/>
      <c r="K583" s="134"/>
    </row>
    <row r="584" spans="1:17" s="132" customFormat="1" x14ac:dyDescent="0.3">
      <c r="A584" s="133"/>
      <c r="K584" s="134"/>
    </row>
    <row r="585" spans="1:17" s="132" customFormat="1" x14ac:dyDescent="0.3">
      <c r="A585" s="133"/>
      <c r="K585" s="134"/>
    </row>
    <row r="586" spans="1:17" x14ac:dyDescent="0.3">
      <c r="A586" s="133"/>
      <c r="C586" s="132"/>
      <c r="D586" s="132"/>
      <c r="E586" s="132"/>
      <c r="F586" s="132"/>
      <c r="L586" s="132"/>
      <c r="M586" s="132"/>
      <c r="P586" s="132"/>
      <c r="Q586" s="132"/>
    </row>
    <row r="587" spans="1:17" x14ac:dyDescent="0.3">
      <c r="A587" s="133"/>
      <c r="C587" s="132"/>
      <c r="D587" s="132"/>
      <c r="E587" s="132"/>
      <c r="F587" s="132"/>
      <c r="L587" s="132"/>
      <c r="M587" s="132"/>
      <c r="P587" s="132"/>
      <c r="Q587" s="132"/>
    </row>
    <row r="588" spans="1:17" x14ac:dyDescent="0.3">
      <c r="A588" s="133"/>
      <c r="C588" s="132"/>
      <c r="D588" s="132"/>
      <c r="E588" s="132"/>
      <c r="F588" s="132"/>
      <c r="L588" s="132"/>
      <c r="M588" s="132"/>
      <c r="P588" s="132"/>
      <c r="Q588" s="132"/>
    </row>
    <row r="589" spans="1:17" x14ac:dyDescent="0.3">
      <c r="A589" s="133"/>
      <c r="C589" s="132"/>
      <c r="D589" s="132"/>
      <c r="E589" s="132"/>
      <c r="F589" s="132"/>
      <c r="L589" s="132"/>
      <c r="M589" s="132"/>
      <c r="P589" s="132"/>
      <c r="Q589" s="132"/>
    </row>
    <row r="590" spans="1:17" x14ac:dyDescent="0.3">
      <c r="A590" s="133"/>
      <c r="C590" s="132"/>
      <c r="D590" s="132"/>
      <c r="E590" s="132"/>
      <c r="F590" s="132"/>
      <c r="L590" s="132"/>
      <c r="M590" s="132"/>
      <c r="P590" s="132"/>
      <c r="Q590" s="132"/>
    </row>
    <row r="591" spans="1:17" x14ac:dyDescent="0.3">
      <c r="A591" s="133"/>
      <c r="C591" s="132"/>
      <c r="D591" s="132"/>
      <c r="E591" s="132"/>
      <c r="F591" s="132"/>
      <c r="L591" s="132"/>
      <c r="M591" s="132"/>
      <c r="P591" s="132"/>
      <c r="Q591" s="132"/>
    </row>
    <row r="592" spans="1:17" x14ac:dyDescent="0.3">
      <c r="A592" s="133"/>
      <c r="C592" s="132"/>
      <c r="D592" s="132"/>
      <c r="E592" s="132"/>
      <c r="F592" s="132"/>
      <c r="L592" s="132"/>
      <c r="M592" s="132"/>
      <c r="P592" s="132"/>
      <c r="Q592" s="132"/>
    </row>
    <row r="593" spans="1:17" x14ac:dyDescent="0.3">
      <c r="A593" s="133"/>
      <c r="C593" s="132"/>
      <c r="D593" s="132"/>
      <c r="E593" s="132"/>
      <c r="F593" s="132"/>
      <c r="L593" s="132"/>
      <c r="M593" s="132"/>
      <c r="P593" s="132"/>
      <c r="Q593" s="132"/>
    </row>
    <row r="594" spans="1:17" x14ac:dyDescent="0.3">
      <c r="A594" s="133"/>
      <c r="C594" s="132"/>
      <c r="D594" s="132"/>
      <c r="E594" s="132"/>
      <c r="F594" s="132"/>
      <c r="L594" s="132"/>
      <c r="M594" s="132"/>
      <c r="P594" s="132"/>
      <c r="Q594" s="132"/>
    </row>
    <row r="595" spans="1:17" x14ac:dyDescent="0.3">
      <c r="A595" s="133"/>
      <c r="C595" s="132"/>
      <c r="D595" s="132"/>
      <c r="E595" s="132"/>
      <c r="F595" s="132"/>
      <c r="L595" s="132"/>
      <c r="M595" s="132"/>
      <c r="P595" s="132"/>
      <c r="Q595" s="132"/>
    </row>
    <row r="596" spans="1:17" x14ac:dyDescent="0.3">
      <c r="A596" s="133"/>
      <c r="C596" s="132"/>
      <c r="D596" s="132"/>
      <c r="E596" s="132"/>
      <c r="F596" s="132"/>
      <c r="L596" s="132"/>
      <c r="M596" s="132"/>
      <c r="P596" s="132"/>
      <c r="Q596" s="132"/>
    </row>
    <row r="597" spans="1:17" x14ac:dyDescent="0.3">
      <c r="A597" s="133"/>
      <c r="C597" s="132"/>
      <c r="D597" s="132"/>
      <c r="E597" s="132"/>
      <c r="F597" s="132"/>
      <c r="L597" s="132"/>
      <c r="M597" s="132"/>
      <c r="P597" s="132"/>
      <c r="Q597" s="132"/>
    </row>
    <row r="598" spans="1:17" x14ac:dyDescent="0.3">
      <c r="A598" s="133"/>
      <c r="C598" s="132"/>
      <c r="D598" s="132"/>
      <c r="E598" s="132"/>
      <c r="F598" s="132"/>
      <c r="L598" s="132"/>
      <c r="M598" s="132"/>
      <c r="P598" s="132"/>
      <c r="Q598" s="132"/>
    </row>
    <row r="599" spans="1:17" x14ac:dyDescent="0.3">
      <c r="A599" s="133"/>
      <c r="C599" s="132"/>
      <c r="D599" s="132"/>
      <c r="E599" s="132"/>
      <c r="F599" s="132"/>
      <c r="L599" s="132"/>
      <c r="M599" s="132"/>
      <c r="P599" s="132"/>
      <c r="Q599" s="132"/>
    </row>
    <row r="600" spans="1:17" x14ac:dyDescent="0.3">
      <c r="A600" s="133"/>
      <c r="C600" s="132"/>
      <c r="D600" s="132"/>
      <c r="E600" s="132"/>
      <c r="F600" s="132"/>
      <c r="L600" s="132"/>
      <c r="M600" s="132"/>
      <c r="P600" s="132"/>
      <c r="Q600" s="132"/>
    </row>
    <row r="601" spans="1:17" x14ac:dyDescent="0.3">
      <c r="A601" s="133"/>
      <c r="D601" s="132"/>
      <c r="E601" s="132"/>
      <c r="F601" s="132"/>
    </row>
    <row r="602" spans="1:17" x14ac:dyDescent="0.3">
      <c r="A602" s="133"/>
      <c r="D602" s="132"/>
      <c r="E602" s="132"/>
      <c r="F602" s="132"/>
    </row>
    <row r="603" spans="1:17" x14ac:dyDescent="0.3">
      <c r="A603" s="133"/>
      <c r="D603" s="132"/>
      <c r="E603" s="132"/>
      <c r="F603" s="132"/>
    </row>
    <row r="604" spans="1:17" x14ac:dyDescent="0.3">
      <c r="A604" s="133"/>
      <c r="D604" s="132"/>
      <c r="E604" s="132"/>
      <c r="F604" s="132"/>
    </row>
    <row r="605" spans="1:17" x14ac:dyDescent="0.3">
      <c r="A605" s="133"/>
      <c r="D605" s="132"/>
      <c r="E605" s="132"/>
      <c r="F605" s="132"/>
    </row>
    <row r="606" spans="1:17" x14ac:dyDescent="0.3">
      <c r="A606" s="133"/>
      <c r="D606" s="132"/>
      <c r="E606" s="132"/>
      <c r="F606" s="132"/>
    </row>
    <row r="607" spans="1:17" x14ac:dyDescent="0.3">
      <c r="A607" s="133"/>
      <c r="D607" s="132"/>
      <c r="E607" s="132"/>
      <c r="F607" s="132"/>
    </row>
    <row r="608" spans="1:17" x14ac:dyDescent="0.3">
      <c r="A608" s="133"/>
      <c r="D608" s="132"/>
      <c r="E608" s="132"/>
      <c r="F608" s="132"/>
    </row>
    <row r="609" spans="1:6" x14ac:dyDescent="0.3">
      <c r="A609" s="133"/>
      <c r="D609" s="132"/>
      <c r="E609" s="132"/>
      <c r="F609" s="132"/>
    </row>
    <row r="610" spans="1:6" x14ac:dyDescent="0.3">
      <c r="A610" s="133"/>
      <c r="D610" s="132"/>
      <c r="E610" s="132"/>
      <c r="F610" s="132"/>
    </row>
    <row r="611" spans="1:6" x14ac:dyDescent="0.3">
      <c r="A611" s="133"/>
      <c r="D611" s="132"/>
      <c r="E611" s="132"/>
      <c r="F611" s="132"/>
    </row>
    <row r="612" spans="1:6" x14ac:dyDescent="0.3">
      <c r="A612" s="133"/>
      <c r="D612" s="132"/>
      <c r="E612" s="132"/>
      <c r="F612" s="132"/>
    </row>
    <row r="613" spans="1:6" x14ac:dyDescent="0.3">
      <c r="A613" s="133"/>
      <c r="D613" s="132"/>
      <c r="E613" s="132"/>
      <c r="F613" s="132"/>
    </row>
    <row r="614" spans="1:6" x14ac:dyDescent="0.3">
      <c r="A614" s="133"/>
      <c r="D614" s="132"/>
      <c r="E614" s="132"/>
      <c r="F614" s="132"/>
    </row>
    <row r="615" spans="1:6" x14ac:dyDescent="0.3">
      <c r="A615" s="133"/>
      <c r="D615" s="132"/>
      <c r="E615" s="132"/>
      <c r="F615" s="132"/>
    </row>
    <row r="616" spans="1:6" x14ac:dyDescent="0.3">
      <c r="A616" s="133"/>
      <c r="D616" s="132"/>
      <c r="E616" s="132"/>
      <c r="F616" s="132"/>
    </row>
    <row r="617" spans="1:6" x14ac:dyDescent="0.3">
      <c r="A617" s="133"/>
      <c r="D617" s="132"/>
      <c r="E617" s="132"/>
      <c r="F617" s="132"/>
    </row>
    <row r="618" spans="1:6" x14ac:dyDescent="0.3">
      <c r="A618" s="133"/>
      <c r="D618" s="132"/>
      <c r="E618" s="132"/>
      <c r="F618" s="132"/>
    </row>
    <row r="619" spans="1:6" x14ac:dyDescent="0.3">
      <c r="A619" s="133"/>
      <c r="D619" s="132"/>
      <c r="E619" s="132"/>
      <c r="F619" s="132"/>
    </row>
    <row r="620" spans="1:6" x14ac:dyDescent="0.3">
      <c r="A620" s="133"/>
      <c r="D620" s="132"/>
      <c r="E620" s="132"/>
      <c r="F620" s="132"/>
    </row>
    <row r="621" spans="1:6" x14ac:dyDescent="0.3">
      <c r="A621" s="133"/>
      <c r="D621" s="132"/>
      <c r="E621" s="132"/>
      <c r="F621" s="132"/>
    </row>
    <row r="622" spans="1:6" x14ac:dyDescent="0.3">
      <c r="A622" s="133"/>
      <c r="D622" s="132"/>
      <c r="E622" s="132"/>
      <c r="F622" s="132"/>
    </row>
    <row r="623" spans="1:6" x14ac:dyDescent="0.3">
      <c r="A623" s="133"/>
      <c r="D623" s="132"/>
      <c r="E623" s="132"/>
      <c r="F623" s="132"/>
    </row>
    <row r="624" spans="1:6" x14ac:dyDescent="0.3">
      <c r="A624" s="133"/>
      <c r="D624" s="132"/>
      <c r="E624" s="132"/>
      <c r="F624" s="132"/>
    </row>
    <row r="625" spans="1:13" x14ac:dyDescent="0.3">
      <c r="A625" s="133"/>
      <c r="D625" s="132"/>
      <c r="E625" s="132"/>
      <c r="F625" s="132"/>
    </row>
    <row r="626" spans="1:13" x14ac:dyDescent="0.3">
      <c r="A626" s="133"/>
      <c r="D626" s="132"/>
      <c r="E626" s="132"/>
      <c r="F626" s="132"/>
    </row>
    <row r="627" spans="1:13" x14ac:dyDescent="0.3">
      <c r="A627" s="133"/>
      <c r="D627" s="132"/>
      <c r="E627" s="132"/>
      <c r="F627" s="132"/>
    </row>
    <row r="628" spans="1:13" x14ac:dyDescent="0.3">
      <c r="A628" s="133"/>
      <c r="D628" s="132"/>
      <c r="E628" s="132"/>
      <c r="F628" s="132"/>
    </row>
    <row r="629" spans="1:13" x14ac:dyDescent="0.3">
      <c r="A629" s="133"/>
      <c r="D629" s="132"/>
      <c r="E629" s="132"/>
      <c r="F629" s="132"/>
    </row>
    <row r="630" spans="1:13" x14ac:dyDescent="0.3">
      <c r="A630" s="133"/>
      <c r="D630" s="132"/>
      <c r="E630" s="132"/>
      <c r="F630" s="132"/>
    </row>
    <row r="631" spans="1:13" x14ac:dyDescent="0.3">
      <c r="A631" s="133"/>
      <c r="D631" s="132"/>
      <c r="E631" s="132"/>
      <c r="F631" s="132"/>
    </row>
    <row r="632" spans="1:13" x14ac:dyDescent="0.3">
      <c r="A632" s="133"/>
      <c r="D632" s="132"/>
      <c r="E632" s="132"/>
      <c r="F632" s="132"/>
    </row>
    <row r="633" spans="1:13" x14ac:dyDescent="0.3">
      <c r="A633" s="133"/>
      <c r="D633" s="132"/>
      <c r="E633" s="132"/>
      <c r="F633" s="132"/>
    </row>
    <row r="634" spans="1:13" x14ac:dyDescent="0.3">
      <c r="A634" s="133"/>
      <c r="D634" s="132"/>
      <c r="E634" s="132"/>
      <c r="F634" s="132"/>
    </row>
    <row r="635" spans="1:13" x14ac:dyDescent="0.3">
      <c r="A635" s="133"/>
    </row>
    <row r="636" spans="1:13" x14ac:dyDescent="0.3">
      <c r="A636" s="133"/>
    </row>
    <row r="637" spans="1:13" x14ac:dyDescent="0.3">
      <c r="A637" s="133"/>
      <c r="F637" s="21"/>
      <c r="G637" s="111"/>
      <c r="H637" s="111"/>
      <c r="I637" s="111"/>
      <c r="J637" s="112"/>
      <c r="K637" s="124"/>
      <c r="L637" s="111"/>
      <c r="M637" s="111"/>
    </row>
    <row r="638" spans="1:13" x14ac:dyDescent="0.3">
      <c r="A638" s="133"/>
    </row>
    <row r="639" spans="1:13" x14ac:dyDescent="0.3">
      <c r="A639" s="133"/>
    </row>
    <row r="640" spans="1:13" x14ac:dyDescent="0.3">
      <c r="A640" s="133"/>
    </row>
    <row r="641" spans="1:1" x14ac:dyDescent="0.3">
      <c r="A641" s="133"/>
    </row>
    <row r="642" spans="1:1" x14ac:dyDescent="0.3">
      <c r="A642" s="133"/>
    </row>
    <row r="643" spans="1:1" x14ac:dyDescent="0.3">
      <c r="A643" s="133"/>
    </row>
    <row r="644" spans="1:1" x14ac:dyDescent="0.3">
      <c r="A644" s="133"/>
    </row>
    <row r="645" spans="1:1" x14ac:dyDescent="0.3">
      <c r="A645" s="133"/>
    </row>
    <row r="646" spans="1:1" x14ac:dyDescent="0.3">
      <c r="A646" s="133"/>
    </row>
    <row r="647" spans="1:1" x14ac:dyDescent="0.3">
      <c r="A647" s="133"/>
    </row>
    <row r="648" spans="1:1" x14ac:dyDescent="0.3">
      <c r="A648" s="133"/>
    </row>
    <row r="649" spans="1:1" x14ac:dyDescent="0.3">
      <c r="A649" s="133"/>
    </row>
    <row r="650" spans="1:1" x14ac:dyDescent="0.3">
      <c r="A650" s="133"/>
    </row>
    <row r="651" spans="1:1" x14ac:dyDescent="0.3">
      <c r="A651" s="133"/>
    </row>
    <row r="652" spans="1:1" x14ac:dyDescent="0.3">
      <c r="A652" s="133"/>
    </row>
    <row r="653" spans="1:1" x14ac:dyDescent="0.3">
      <c r="A653" s="133"/>
    </row>
  </sheetData>
  <conditionalFormatting sqref="F1">
    <cfRule type="containsText" dxfId="0" priority="1" operator="containsText" text="Dummy Configuration">
      <formula>NOT(ISERROR(SEARCH("Dummy Configuration",F1)))</formula>
    </cfRule>
  </conditionalFormatting>
  <dataValidations count="1">
    <dataValidation type="list" allowBlank="1" showInputMessage="1" showErrorMessage="1" sqref="A477:A653" xr:uid="{00000000-0002-0000-1200-000000000000}">
      <formula1>business_contxt</formula1>
    </dataValidation>
  </dataValidations>
  <pageMargins left="0.7" right="0.7" top="0.75" bottom="0.75" header="0.3" footer="0.3"/>
  <pageSetup orientation="portrait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5"/>
  <dimension ref="A1:R26"/>
  <sheetViews>
    <sheetView zoomScale="56" zoomScaleNormal="60" workbookViewId="0">
      <selection activeCell="A8" sqref="A8:XFD8"/>
    </sheetView>
  </sheetViews>
  <sheetFormatPr defaultRowHeight="14.4" x14ac:dyDescent="0.3"/>
  <cols>
    <col min="1" max="1" width="12" customWidth="1"/>
    <col min="2" max="2" width="11.6640625" customWidth="1"/>
    <col min="3" max="3" width="24.33203125" customWidth="1"/>
    <col min="4" max="4" width="25.6640625" customWidth="1"/>
    <col min="5" max="5" width="30.77734375" customWidth="1"/>
    <col min="6" max="6" width="27.77734375" customWidth="1"/>
    <col min="7" max="7" width="12.21875" customWidth="1"/>
    <col min="8" max="8" width="8.21875" bestFit="1" customWidth="1"/>
    <col min="9" max="9" width="10.44140625" bestFit="1" customWidth="1"/>
    <col min="10" max="10" width="100.77734375" customWidth="1"/>
    <col min="11" max="11" width="7.44140625" bestFit="1" customWidth="1"/>
    <col min="12" max="12" width="9.21875" bestFit="1" customWidth="1"/>
    <col min="13" max="13" width="30.88671875" customWidth="1"/>
    <col min="14" max="14" width="47" bestFit="1" customWidth="1"/>
    <col min="15" max="15" width="11.44140625" bestFit="1" customWidth="1"/>
    <col min="16" max="16" width="6.5546875" bestFit="1" customWidth="1"/>
    <col min="17" max="17" width="13.109375" bestFit="1" customWidth="1"/>
    <col min="18" max="18" width="18.77734375" bestFit="1" customWidth="1"/>
  </cols>
  <sheetData>
    <row r="1" spans="1:18" x14ac:dyDescent="0.3">
      <c r="A1" s="40" t="s">
        <v>1324</v>
      </c>
      <c r="B1" s="40" t="s">
        <v>1325</v>
      </c>
      <c r="C1" s="81" t="s">
        <v>9</v>
      </c>
      <c r="D1" s="122" t="s">
        <v>1245</v>
      </c>
      <c r="E1" s="30" t="s">
        <v>1158</v>
      </c>
      <c r="F1" s="40" t="s">
        <v>1157</v>
      </c>
      <c r="G1" s="123" t="s">
        <v>542</v>
      </c>
      <c r="H1" s="40" t="s">
        <v>1246</v>
      </c>
      <c r="I1" s="40" t="s">
        <v>1247</v>
      </c>
      <c r="J1" s="40" t="s">
        <v>1248</v>
      </c>
      <c r="K1" s="40" t="s">
        <v>1249</v>
      </c>
      <c r="L1" s="123" t="s">
        <v>1250</v>
      </c>
      <c r="M1" s="40" t="s">
        <v>1251</v>
      </c>
      <c r="N1" s="40" t="s">
        <v>1252</v>
      </c>
      <c r="O1" s="40" t="s">
        <v>1253</v>
      </c>
      <c r="P1" s="40" t="s">
        <v>1254</v>
      </c>
      <c r="Q1" s="40" t="s">
        <v>1255</v>
      </c>
      <c r="R1" s="40" t="s">
        <v>1256</v>
      </c>
    </row>
    <row r="2" spans="1:18" x14ac:dyDescent="0.3">
      <c r="A2" s="146" t="s">
        <v>1262</v>
      </c>
      <c r="B2" s="146"/>
      <c r="C2" s="27" t="s">
        <v>1259</v>
      </c>
      <c r="D2" s="146" t="s">
        <v>1260</v>
      </c>
      <c r="E2" s="146" t="s">
        <v>1326</v>
      </c>
      <c r="F2" s="146" t="s">
        <v>1326</v>
      </c>
      <c r="H2" s="27"/>
      <c r="I2" s="27"/>
      <c r="J2" t="s">
        <v>1263</v>
      </c>
      <c r="K2" s="27">
        <v>0</v>
      </c>
      <c r="L2" s="147" t="s">
        <v>1264</v>
      </c>
      <c r="M2" t="s">
        <v>1265</v>
      </c>
      <c r="N2" t="s">
        <v>1266</v>
      </c>
    </row>
    <row r="3" spans="1:18" x14ac:dyDescent="0.3">
      <c r="A3" s="146" t="s">
        <v>1262</v>
      </c>
      <c r="C3" s="27" t="s">
        <v>1259</v>
      </c>
      <c r="D3" t="s">
        <v>1267</v>
      </c>
      <c r="E3" s="146" t="s">
        <v>1326</v>
      </c>
      <c r="F3" s="146" t="s">
        <v>1326</v>
      </c>
      <c r="H3" s="27"/>
      <c r="I3" s="27"/>
      <c r="J3" t="s">
        <v>1263</v>
      </c>
      <c r="K3" s="27">
        <v>0</v>
      </c>
      <c r="L3" s="147" t="s">
        <v>1268</v>
      </c>
      <c r="M3" t="s">
        <v>1265</v>
      </c>
      <c r="N3" t="s">
        <v>1266</v>
      </c>
    </row>
    <row r="4" spans="1:18" x14ac:dyDescent="0.3">
      <c r="A4" t="s">
        <v>1262</v>
      </c>
      <c r="C4" s="27" t="s">
        <v>1259</v>
      </c>
      <c r="D4" t="s">
        <v>125</v>
      </c>
      <c r="E4" s="146" t="s">
        <v>1326</v>
      </c>
      <c r="F4" s="146" t="s">
        <v>1326</v>
      </c>
      <c r="H4" s="27"/>
      <c r="I4" s="27"/>
      <c r="J4" t="s">
        <v>1269</v>
      </c>
      <c r="K4" s="27">
        <v>0</v>
      </c>
      <c r="L4" s="167" t="s">
        <v>1270</v>
      </c>
      <c r="M4" t="s">
        <v>1271</v>
      </c>
      <c r="N4" t="s">
        <v>1266</v>
      </c>
    </row>
    <row r="5" spans="1:18" x14ac:dyDescent="0.3">
      <c r="A5" s="111" t="s">
        <v>1262</v>
      </c>
      <c r="C5" s="27" t="s">
        <v>1259</v>
      </c>
      <c r="D5" s="129" t="s">
        <v>1272</v>
      </c>
      <c r="E5" s="146" t="s">
        <v>1326</v>
      </c>
      <c r="F5" s="146" t="s">
        <v>1326</v>
      </c>
      <c r="I5" s="27"/>
      <c r="J5" t="s">
        <v>1273</v>
      </c>
      <c r="K5" s="139"/>
      <c r="L5" s="148" t="s">
        <v>1274</v>
      </c>
      <c r="M5" t="s">
        <v>1271</v>
      </c>
      <c r="N5" t="s">
        <v>1266</v>
      </c>
    </row>
    <row r="6" spans="1:18" x14ac:dyDescent="0.3">
      <c r="A6" s="111" t="s">
        <v>1262</v>
      </c>
      <c r="C6" s="27" t="s">
        <v>1259</v>
      </c>
      <c r="D6" s="129" t="s">
        <v>1327</v>
      </c>
      <c r="E6" s="146" t="s">
        <v>1326</v>
      </c>
      <c r="F6" s="146" t="s">
        <v>1326</v>
      </c>
      <c r="I6" s="27"/>
      <c r="J6" t="s">
        <v>1276</v>
      </c>
      <c r="K6" s="139"/>
      <c r="L6" s="148" t="s">
        <v>1328</v>
      </c>
      <c r="M6" t="s">
        <v>1271</v>
      </c>
      <c r="N6" t="s">
        <v>1266</v>
      </c>
    </row>
    <row r="7" spans="1:18" x14ac:dyDescent="0.3">
      <c r="A7" t="s">
        <v>1262</v>
      </c>
      <c r="C7" s="27" t="s">
        <v>1259</v>
      </c>
      <c r="D7" t="s">
        <v>1278</v>
      </c>
      <c r="E7" s="146" t="s">
        <v>1326</v>
      </c>
      <c r="F7" s="146" t="s">
        <v>1326</v>
      </c>
      <c r="H7" s="27"/>
      <c r="I7" s="27"/>
      <c r="J7" t="s">
        <v>1279</v>
      </c>
      <c r="K7" s="27">
        <v>0</v>
      </c>
      <c r="L7" s="167" t="s">
        <v>1280</v>
      </c>
      <c r="M7" t="s">
        <v>1271</v>
      </c>
      <c r="N7" t="s">
        <v>1266</v>
      </c>
    </row>
    <row r="8" spans="1:18" x14ac:dyDescent="0.3">
      <c r="A8" s="111" t="s">
        <v>1262</v>
      </c>
      <c r="C8" s="27" t="s">
        <v>1329</v>
      </c>
      <c r="D8" s="129" t="s">
        <v>1281</v>
      </c>
      <c r="E8" s="146" t="s">
        <v>1326</v>
      </c>
      <c r="F8" s="146" t="s">
        <v>1326</v>
      </c>
      <c r="H8" s="27"/>
      <c r="I8" s="27"/>
      <c r="J8" t="s">
        <v>1330</v>
      </c>
      <c r="K8" s="27">
        <v>0</v>
      </c>
      <c r="L8" s="147" t="s">
        <v>1283</v>
      </c>
      <c r="M8" t="s">
        <v>1271</v>
      </c>
      <c r="N8" t="s">
        <v>1266</v>
      </c>
      <c r="O8" s="111"/>
      <c r="P8" s="111"/>
      <c r="Q8" s="111"/>
      <c r="R8" s="111"/>
    </row>
    <row r="26" spans="11:12" x14ac:dyDescent="0.3">
      <c r="K26" s="27"/>
      <c r="L26" s="112"/>
    </row>
  </sheetData>
  <dataValidations count="1">
    <dataValidation type="list" allowBlank="1" showInputMessage="1" showErrorMessage="1" sqref="Q2:Q8" xr:uid="{00000000-0002-0000-1300-000000000000}">
      <formula1>"Sig test 3 rows,Yes"</formula1>
    </dataValidation>
  </dataValidations>
  <pageMargins left="0.7" right="0.7" top="0.75" bottom="0.75" header="0.3" footer="0.3"/>
  <pageSetup paperSize="9" orientation="portrait" horizontalDpi="429496729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1"/>
  <dimension ref="A1:K68"/>
  <sheetViews>
    <sheetView zoomScale="60" workbookViewId="0">
      <selection activeCell="A2" sqref="A2:XFD78"/>
    </sheetView>
  </sheetViews>
  <sheetFormatPr defaultRowHeight="14.4" x14ac:dyDescent="0.3"/>
  <cols>
    <col min="1" max="1" width="38.77734375" customWidth="1"/>
    <col min="2" max="2" width="21.21875" customWidth="1"/>
    <col min="3" max="3" width="50.44140625" customWidth="1"/>
    <col min="4" max="4" width="39.5546875" customWidth="1"/>
    <col min="5" max="5" width="13.88671875" customWidth="1"/>
    <col min="6" max="6" width="21.21875" customWidth="1"/>
  </cols>
  <sheetData>
    <row r="1" spans="1:11" s="1" customFormat="1" ht="12" customHeight="1" x14ac:dyDescent="0.25">
      <c r="A1" s="25" t="s">
        <v>1331</v>
      </c>
      <c r="B1" s="25" t="s">
        <v>1116</v>
      </c>
      <c r="C1" s="25" t="s">
        <v>1332</v>
      </c>
      <c r="D1" s="25" t="s">
        <v>626</v>
      </c>
      <c r="E1" s="113" t="s">
        <v>1333</v>
      </c>
      <c r="F1" s="113" t="s">
        <v>1334</v>
      </c>
    </row>
    <row r="2" spans="1:11" s="129" customFormat="1" x14ac:dyDescent="0.3">
      <c r="A2" s="144"/>
      <c r="H2" s="139"/>
      <c r="J2" s="139"/>
      <c r="K2" s="139"/>
    </row>
    <row r="3" spans="1:11" s="129" customFormat="1" x14ac:dyDescent="0.3">
      <c r="A3" s="144"/>
      <c r="H3" s="139"/>
      <c r="J3" s="139"/>
      <c r="K3" s="139"/>
    </row>
    <row r="4" spans="1:11" s="129" customFormat="1" x14ac:dyDescent="0.3">
      <c r="A4" s="144"/>
      <c r="H4" s="139"/>
      <c r="J4" s="139"/>
      <c r="K4" s="139"/>
    </row>
    <row r="5" spans="1:11" s="144" customFormat="1" x14ac:dyDescent="0.3">
      <c r="F5" s="129"/>
      <c r="H5" s="145"/>
      <c r="J5" s="145"/>
      <c r="K5" s="145"/>
    </row>
    <row r="6" spans="1:11" s="129" customFormat="1" x14ac:dyDescent="0.3">
      <c r="A6" s="144"/>
      <c r="H6" s="139"/>
      <c r="J6" s="139"/>
      <c r="K6" s="139"/>
    </row>
    <row r="7" spans="1:11" s="144" customFormat="1" x14ac:dyDescent="0.3">
      <c r="F7" s="129"/>
      <c r="H7" s="145"/>
      <c r="J7" s="145"/>
      <c r="K7" s="145"/>
    </row>
    <row r="8" spans="1:11" s="144" customFormat="1" x14ac:dyDescent="0.3">
      <c r="H8" s="145"/>
      <c r="J8" s="145"/>
      <c r="K8" s="145"/>
    </row>
    <row r="9" spans="1:11" s="144" customFormat="1" x14ac:dyDescent="0.3">
      <c r="H9" s="145"/>
      <c r="J9" s="145"/>
      <c r="K9" s="145"/>
    </row>
    <row r="10" spans="1:11" s="129" customFormat="1" x14ac:dyDescent="0.3">
      <c r="A10" s="144"/>
      <c r="F10" s="144"/>
      <c r="H10" s="139"/>
      <c r="J10" s="139"/>
      <c r="K10" s="139"/>
    </row>
    <row r="11" spans="1:11" s="129" customFormat="1" x14ac:dyDescent="0.3">
      <c r="A11" s="144"/>
      <c r="F11" s="144"/>
      <c r="H11" s="139"/>
      <c r="J11" s="139"/>
      <c r="K11" s="139"/>
    </row>
    <row r="12" spans="1:11" s="129" customFormat="1" x14ac:dyDescent="0.3">
      <c r="A12" s="144"/>
      <c r="F12" s="144"/>
      <c r="H12" s="139"/>
      <c r="J12" s="139"/>
      <c r="K12" s="139"/>
    </row>
    <row r="13" spans="1:11" s="129" customFormat="1" x14ac:dyDescent="0.3">
      <c r="A13" s="144"/>
      <c r="F13" s="144"/>
      <c r="H13" s="139"/>
      <c r="J13" s="139"/>
      <c r="K13" s="139"/>
    </row>
    <row r="14" spans="1:11" s="129" customFormat="1" x14ac:dyDescent="0.3">
      <c r="A14" s="144"/>
      <c r="F14" s="144"/>
      <c r="H14" s="139"/>
      <c r="J14" s="139"/>
      <c r="K14" s="139"/>
    </row>
    <row r="15" spans="1:11" s="129" customFormat="1" x14ac:dyDescent="0.3">
      <c r="A15" s="144"/>
      <c r="F15" s="144"/>
      <c r="H15" s="139"/>
      <c r="J15" s="139"/>
      <c r="K15" s="139"/>
    </row>
    <row r="16" spans="1:11" s="129" customFormat="1" x14ac:dyDescent="0.3">
      <c r="A16" s="144"/>
      <c r="F16" s="144"/>
      <c r="H16" s="139"/>
      <c r="J16" s="139"/>
      <c r="K16" s="139"/>
    </row>
    <row r="17" spans="1:11" s="129" customFormat="1" x14ac:dyDescent="0.3">
      <c r="A17" s="144"/>
      <c r="F17" s="144"/>
      <c r="H17" s="139"/>
      <c r="J17" s="139"/>
      <c r="K17" s="139"/>
    </row>
    <row r="18" spans="1:11" s="129" customFormat="1" x14ac:dyDescent="0.3">
      <c r="A18" s="144"/>
      <c r="F18" s="144"/>
      <c r="H18" s="139"/>
      <c r="J18" s="139"/>
      <c r="K18" s="139"/>
    </row>
    <row r="19" spans="1:11" s="129" customFormat="1" x14ac:dyDescent="0.3">
      <c r="A19" s="144"/>
      <c r="F19" s="144"/>
      <c r="H19" s="139"/>
      <c r="J19" s="139"/>
      <c r="K19" s="139"/>
    </row>
    <row r="20" spans="1:11" s="129" customFormat="1" x14ac:dyDescent="0.3">
      <c r="A20" s="144"/>
      <c r="F20" s="144"/>
      <c r="H20" s="139"/>
      <c r="J20" s="139"/>
      <c r="K20" s="139"/>
    </row>
    <row r="21" spans="1:11" s="129" customFormat="1" x14ac:dyDescent="0.3">
      <c r="A21" s="144"/>
      <c r="F21" s="144"/>
      <c r="H21" s="139"/>
      <c r="J21" s="139"/>
      <c r="K21" s="139"/>
    </row>
    <row r="22" spans="1:11" s="129" customFormat="1" x14ac:dyDescent="0.3">
      <c r="A22" s="144"/>
      <c r="F22" s="144"/>
      <c r="H22" s="139"/>
      <c r="J22" s="139"/>
      <c r="K22" s="139"/>
    </row>
    <row r="23" spans="1:11" s="129" customFormat="1" x14ac:dyDescent="0.3">
      <c r="A23" s="144"/>
      <c r="F23" s="144"/>
      <c r="H23" s="139"/>
      <c r="J23" s="139"/>
      <c r="K23" s="139"/>
    </row>
    <row r="24" spans="1:11" s="129" customFormat="1" x14ac:dyDescent="0.3">
      <c r="A24" s="144"/>
      <c r="F24" s="144"/>
      <c r="H24" s="139"/>
      <c r="J24" s="139"/>
      <c r="K24" s="139"/>
    </row>
    <row r="25" spans="1:11" s="129" customFormat="1" x14ac:dyDescent="0.3">
      <c r="A25" s="144"/>
      <c r="F25" s="144"/>
      <c r="H25" s="139"/>
      <c r="J25" s="139"/>
      <c r="K25" s="139"/>
    </row>
    <row r="26" spans="1:11" s="129" customFormat="1" x14ac:dyDescent="0.3">
      <c r="A26" s="144"/>
      <c r="F26" s="144"/>
      <c r="H26" s="139"/>
      <c r="J26" s="139"/>
      <c r="K26" s="139"/>
    </row>
    <row r="27" spans="1:11" s="129" customFormat="1" x14ac:dyDescent="0.3">
      <c r="A27" s="144"/>
      <c r="F27" s="144"/>
      <c r="H27" s="139"/>
      <c r="J27" s="139"/>
      <c r="K27" s="139"/>
    </row>
    <row r="28" spans="1:11" s="129" customFormat="1" x14ac:dyDescent="0.3">
      <c r="A28" s="144"/>
      <c r="F28" s="144"/>
      <c r="H28" s="139"/>
      <c r="J28" s="139"/>
      <c r="K28" s="139"/>
    </row>
    <row r="29" spans="1:11" s="129" customFormat="1" x14ac:dyDescent="0.3">
      <c r="A29" s="144"/>
      <c r="F29" s="144"/>
      <c r="H29" s="139"/>
      <c r="J29" s="139"/>
      <c r="K29" s="139"/>
    </row>
    <row r="30" spans="1:11" s="129" customFormat="1" x14ac:dyDescent="0.3">
      <c r="A30" s="144"/>
      <c r="F30" s="144"/>
      <c r="H30" s="139"/>
      <c r="J30" s="139"/>
      <c r="K30" s="139"/>
    </row>
    <row r="31" spans="1:11" s="144" customFormat="1" x14ac:dyDescent="0.3">
      <c r="H31" s="145"/>
      <c r="J31" s="145"/>
      <c r="K31" s="145"/>
    </row>
    <row r="32" spans="1:11" s="144" customFormat="1" x14ac:dyDescent="0.3">
      <c r="H32" s="145"/>
      <c r="J32" s="145"/>
      <c r="K32" s="145"/>
    </row>
    <row r="33" spans="1:11" s="144" customFormat="1" x14ac:dyDescent="0.3">
      <c r="H33" s="145"/>
      <c r="J33" s="145"/>
      <c r="K33" s="145"/>
    </row>
    <row r="34" spans="1:11" s="144" customFormat="1" x14ac:dyDescent="0.3">
      <c r="H34" s="145"/>
      <c r="J34" s="145"/>
      <c r="K34" s="145"/>
    </row>
    <row r="35" spans="1:11" s="144" customFormat="1" x14ac:dyDescent="0.3">
      <c r="H35" s="145"/>
      <c r="J35" s="145"/>
      <c r="K35" s="145"/>
    </row>
    <row r="36" spans="1:11" s="144" customFormat="1" x14ac:dyDescent="0.3">
      <c r="H36" s="145"/>
      <c r="J36" s="145"/>
      <c r="K36" s="145"/>
    </row>
    <row r="37" spans="1:11" s="144" customFormat="1" x14ac:dyDescent="0.3">
      <c r="H37" s="145"/>
      <c r="J37" s="145"/>
      <c r="K37" s="145"/>
    </row>
    <row r="38" spans="1:11" s="144" customFormat="1" x14ac:dyDescent="0.3">
      <c r="H38" s="145"/>
      <c r="J38" s="145"/>
      <c r="K38" s="145"/>
    </row>
    <row r="39" spans="1:11" s="144" customFormat="1" x14ac:dyDescent="0.3">
      <c r="H39" s="145"/>
      <c r="J39" s="145"/>
      <c r="K39" s="145"/>
    </row>
    <row r="40" spans="1:11" s="144" customFormat="1" x14ac:dyDescent="0.3">
      <c r="H40" s="145"/>
      <c r="J40" s="145"/>
      <c r="K40" s="145"/>
    </row>
    <row r="41" spans="1:11" s="144" customFormat="1" x14ac:dyDescent="0.3">
      <c r="H41" s="145"/>
      <c r="J41" s="145"/>
      <c r="K41" s="145"/>
    </row>
    <row r="42" spans="1:11" s="144" customFormat="1" x14ac:dyDescent="0.3">
      <c r="F42" s="129"/>
      <c r="H42" s="145"/>
      <c r="J42" s="145"/>
      <c r="K42" s="145"/>
    </row>
    <row r="43" spans="1:11" s="144" customFormat="1" x14ac:dyDescent="0.3">
      <c r="F43" s="129"/>
      <c r="H43" s="145"/>
      <c r="J43" s="145"/>
      <c r="K43" s="145"/>
    </row>
    <row r="44" spans="1:11" s="129" customFormat="1" x14ac:dyDescent="0.3">
      <c r="A44" s="144"/>
      <c r="H44" s="139"/>
      <c r="J44" s="139"/>
      <c r="K44" s="139"/>
    </row>
    <row r="45" spans="1:11" s="144" customFormat="1" x14ac:dyDescent="0.3">
      <c r="H45" s="145"/>
      <c r="J45" s="145"/>
      <c r="K45" s="145"/>
    </row>
    <row r="46" spans="1:11" s="144" customFormat="1" x14ac:dyDescent="0.3">
      <c r="F46" s="129"/>
      <c r="H46" s="145"/>
      <c r="J46" s="145"/>
      <c r="K46" s="145"/>
    </row>
    <row r="47" spans="1:11" s="144" customFormat="1" x14ac:dyDescent="0.3">
      <c r="H47" s="145"/>
      <c r="J47" s="145"/>
      <c r="K47" s="145"/>
    </row>
    <row r="48" spans="1:11" s="144" customFormat="1" x14ac:dyDescent="0.3">
      <c r="H48" s="145"/>
      <c r="J48" s="145"/>
      <c r="K48" s="145"/>
    </row>
    <row r="49" spans="1:11" s="144" customFormat="1" x14ac:dyDescent="0.3">
      <c r="H49" s="145"/>
      <c r="J49" s="145"/>
      <c r="K49" s="145"/>
    </row>
    <row r="50" spans="1:11" s="129" customFormat="1" x14ac:dyDescent="0.3">
      <c r="A50" s="144"/>
      <c r="H50" s="139"/>
      <c r="J50" s="139"/>
      <c r="K50" s="139"/>
    </row>
    <row r="51" spans="1:11" s="129" customFormat="1" x14ac:dyDescent="0.3">
      <c r="A51" s="144"/>
      <c r="H51" s="139"/>
      <c r="J51" s="139"/>
      <c r="K51" s="139"/>
    </row>
    <row r="52" spans="1:11" s="129" customFormat="1" x14ac:dyDescent="0.3">
      <c r="A52" s="144"/>
      <c r="H52" s="139"/>
      <c r="J52" s="139"/>
      <c r="K52" s="139"/>
    </row>
    <row r="53" spans="1:11" s="144" customFormat="1" x14ac:dyDescent="0.3">
      <c r="F53" s="129"/>
      <c r="H53" s="145"/>
      <c r="J53" s="145"/>
      <c r="K53" s="145"/>
    </row>
    <row r="54" spans="1:11" s="144" customFormat="1" x14ac:dyDescent="0.3">
      <c r="F54" s="129"/>
      <c r="H54" s="145"/>
      <c r="J54" s="145"/>
      <c r="K54" s="145"/>
    </row>
    <row r="55" spans="1:11" s="144" customFormat="1" x14ac:dyDescent="0.3">
      <c r="F55" s="129"/>
      <c r="H55" s="145"/>
      <c r="J55" s="145"/>
      <c r="K55" s="145"/>
    </row>
    <row r="56" spans="1:11" s="144" customFormat="1" x14ac:dyDescent="0.3">
      <c r="F56" s="129"/>
      <c r="H56" s="145"/>
      <c r="J56" s="145"/>
      <c r="K56" s="145"/>
    </row>
    <row r="57" spans="1:11" s="144" customFormat="1" x14ac:dyDescent="0.3">
      <c r="F57" s="129"/>
      <c r="H57" s="145"/>
      <c r="J57" s="145"/>
      <c r="K57" s="145"/>
    </row>
    <row r="58" spans="1:11" s="144" customFormat="1" x14ac:dyDescent="0.3">
      <c r="F58" s="129"/>
      <c r="H58" s="145"/>
      <c r="J58" s="145"/>
      <c r="K58" s="145"/>
    </row>
    <row r="59" spans="1:11" s="144" customFormat="1" x14ac:dyDescent="0.3">
      <c r="F59" s="129"/>
      <c r="H59" s="145"/>
      <c r="J59" s="145"/>
      <c r="K59" s="145"/>
    </row>
    <row r="60" spans="1:11" s="144" customFormat="1" x14ac:dyDescent="0.3">
      <c r="F60" s="129"/>
      <c r="H60" s="145"/>
      <c r="J60" s="145"/>
      <c r="K60" s="145"/>
    </row>
    <row r="61" spans="1:11" s="144" customFormat="1" x14ac:dyDescent="0.3">
      <c r="F61" s="129"/>
      <c r="H61" s="145"/>
      <c r="J61" s="145"/>
      <c r="K61" s="145"/>
    </row>
    <row r="62" spans="1:11" s="144" customFormat="1" x14ac:dyDescent="0.3">
      <c r="F62" s="129"/>
      <c r="H62" s="145"/>
      <c r="J62" s="145"/>
      <c r="K62" s="145"/>
    </row>
    <row r="63" spans="1:11" s="144" customFormat="1" x14ac:dyDescent="0.3">
      <c r="F63" s="129"/>
      <c r="H63" s="145"/>
      <c r="J63" s="145"/>
      <c r="K63" s="145"/>
    </row>
    <row r="64" spans="1:11" s="144" customFormat="1" x14ac:dyDescent="0.3">
      <c r="F64" s="129"/>
      <c r="H64" s="145"/>
      <c r="J64" s="145"/>
      <c r="K64" s="145"/>
    </row>
    <row r="65" spans="6:11" s="144" customFormat="1" x14ac:dyDescent="0.3">
      <c r="F65" s="129"/>
      <c r="H65" s="145"/>
      <c r="J65" s="145"/>
      <c r="K65" s="145"/>
    </row>
    <row r="66" spans="6:11" s="144" customFormat="1" x14ac:dyDescent="0.3">
      <c r="F66" s="129"/>
      <c r="H66" s="145"/>
      <c r="J66" s="145"/>
      <c r="K66" s="145"/>
    </row>
    <row r="67" spans="6:11" s="144" customFormat="1" x14ac:dyDescent="0.3">
      <c r="F67" s="129"/>
      <c r="H67" s="145"/>
      <c r="J67" s="145"/>
      <c r="K67" s="145"/>
    </row>
    <row r="68" spans="6:11" s="144" customFormat="1" x14ac:dyDescent="0.3">
      <c r="F68" s="129"/>
      <c r="H68" s="145"/>
      <c r="J68" s="145"/>
      <c r="K68" s="145"/>
    </row>
  </sheetData>
  <pageMargins left="0.7" right="0.7" top="0.75" bottom="0.75" header="0.3" footer="0.3"/>
  <pageSetup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9">
    <tabColor rgb="FF00B0F0"/>
  </sheetPr>
  <dimension ref="A1:E7"/>
  <sheetViews>
    <sheetView showGridLines="0" zoomScale="82" zoomScaleNormal="90" workbookViewId="0">
      <pane ySplit="1" topLeftCell="A2" activePane="bottomLeft" state="frozen"/>
      <selection activeCell="B4" sqref="B4"/>
      <selection pane="bottomLeft" activeCell="D2" sqref="D2:D7"/>
    </sheetView>
  </sheetViews>
  <sheetFormatPr defaultColWidth="8.5546875" defaultRowHeight="14.4" x14ac:dyDescent="0.3"/>
  <cols>
    <col min="1" max="2" width="28.33203125" customWidth="1"/>
    <col min="3" max="3" width="52.6640625" customWidth="1"/>
    <col min="4" max="4" width="60.6640625" customWidth="1"/>
    <col min="5" max="5" width="14.77734375" customWidth="1"/>
    <col min="6" max="6" width="11" customWidth="1"/>
    <col min="7" max="9" width="8.5546875" customWidth="1"/>
  </cols>
  <sheetData>
    <row r="1" spans="1:5" s="1" customFormat="1" ht="12" customHeight="1" x14ac:dyDescent="0.25">
      <c r="A1" s="25" t="s">
        <v>1331</v>
      </c>
      <c r="B1" s="25" t="s">
        <v>1116</v>
      </c>
      <c r="C1" s="25" t="s">
        <v>1332</v>
      </c>
      <c r="D1" s="25" t="s">
        <v>626</v>
      </c>
      <c r="E1" s="25" t="s">
        <v>1335</v>
      </c>
    </row>
    <row r="2" spans="1:5" x14ac:dyDescent="0.3">
      <c r="A2" t="s">
        <v>36</v>
      </c>
      <c r="C2" t="s">
        <v>1336</v>
      </c>
      <c r="D2" t="s">
        <v>1337</v>
      </c>
      <c r="E2" t="s">
        <v>487</v>
      </c>
    </row>
    <row r="3" spans="1:5" x14ac:dyDescent="0.3">
      <c r="A3" t="s">
        <v>36</v>
      </c>
      <c r="B3" s="108"/>
      <c r="C3" t="s">
        <v>1338</v>
      </c>
      <c r="D3" t="s">
        <v>1339</v>
      </c>
      <c r="E3" t="s">
        <v>487</v>
      </c>
    </row>
    <row r="4" spans="1:5" x14ac:dyDescent="0.3">
      <c r="A4" t="s">
        <v>36</v>
      </c>
      <c r="B4" s="108"/>
      <c r="C4" t="s">
        <v>1340</v>
      </c>
      <c r="D4" t="s">
        <v>1341</v>
      </c>
      <c r="E4" t="s">
        <v>487</v>
      </c>
    </row>
    <row r="5" spans="1:5" x14ac:dyDescent="0.3">
      <c r="A5" t="s">
        <v>36</v>
      </c>
      <c r="B5" s="108"/>
      <c r="C5" t="s">
        <v>1342</v>
      </c>
      <c r="D5" t="s">
        <v>1343</v>
      </c>
      <c r="E5" t="s">
        <v>487</v>
      </c>
    </row>
    <row r="6" spans="1:5" x14ac:dyDescent="0.3">
      <c r="A6" t="s">
        <v>36</v>
      </c>
      <c r="B6" s="108"/>
      <c r="C6" t="s">
        <v>1344</v>
      </c>
      <c r="D6" t="s">
        <v>1345</v>
      </c>
      <c r="E6" t="s">
        <v>487</v>
      </c>
    </row>
    <row r="7" spans="1:5" x14ac:dyDescent="0.3">
      <c r="A7" t="s">
        <v>36</v>
      </c>
      <c r="B7" s="108"/>
      <c r="C7" t="s">
        <v>1346</v>
      </c>
      <c r="D7" t="s">
        <v>1347</v>
      </c>
      <c r="E7" t="s">
        <v>487</v>
      </c>
    </row>
  </sheetData>
  <pageMargins left="0.7" right="0.7" top="0.75" bottom="0.75" header="0.3" footer="0.3"/>
  <pageSetup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2">
    <tabColor rgb="FF00B0F0"/>
  </sheetPr>
  <dimension ref="A1:H1"/>
  <sheetViews>
    <sheetView zoomScale="81" zoomScaleNormal="80" workbookViewId="0">
      <pane ySplit="1" topLeftCell="A2" activePane="bottomLeft" state="frozen"/>
      <selection pane="bottomLeft" activeCell="A2" sqref="A2:XFD6"/>
    </sheetView>
  </sheetViews>
  <sheetFormatPr defaultColWidth="9.21875" defaultRowHeight="14.4" x14ac:dyDescent="0.3"/>
  <cols>
    <col min="2" max="2" width="44.77734375" bestFit="1" customWidth="1"/>
    <col min="3" max="3" width="54.5546875" customWidth="1"/>
    <col min="4" max="5" width="18.21875" style="27" customWidth="1"/>
    <col min="6" max="6" width="26.5546875" customWidth="1"/>
    <col min="7" max="7" width="18.33203125" customWidth="1"/>
  </cols>
  <sheetData>
    <row r="1" spans="1:8" s="89" customFormat="1" x14ac:dyDescent="0.3">
      <c r="A1" s="25" t="s">
        <v>1116</v>
      </c>
      <c r="B1" s="25" t="s">
        <v>1331</v>
      </c>
      <c r="C1" s="25" t="s">
        <v>1348</v>
      </c>
      <c r="D1" s="25" t="s">
        <v>1349</v>
      </c>
      <c r="E1" s="25" t="s">
        <v>1350</v>
      </c>
      <c r="F1" s="25" t="s">
        <v>1351</v>
      </c>
      <c r="G1" s="25" t="s">
        <v>1352</v>
      </c>
      <c r="H1" s="25" t="s">
        <v>1353</v>
      </c>
    </row>
  </sheetData>
  <pageMargins left="0.75" right="0.75" top="1" bottom="1" header="0.5" footer="0.5"/>
  <pageSetup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>
    <tabColor rgb="FF00B0F0"/>
  </sheetPr>
  <dimension ref="A1:D83"/>
  <sheetViews>
    <sheetView workbookViewId="0">
      <selection activeCell="E10" sqref="E10"/>
    </sheetView>
  </sheetViews>
  <sheetFormatPr defaultRowHeight="14.4" x14ac:dyDescent="0.3"/>
  <cols>
    <col min="1" max="1" width="18.21875" customWidth="1"/>
    <col min="2" max="4" width="25.5546875" customWidth="1"/>
  </cols>
  <sheetData>
    <row r="1" spans="1:4" ht="15" customHeight="1" thickBot="1" x14ac:dyDescent="0.35">
      <c r="A1" s="65" t="s">
        <v>1116</v>
      </c>
      <c r="B1" s="105" t="s">
        <v>38</v>
      </c>
      <c r="C1" s="106" t="s">
        <v>1354</v>
      </c>
      <c r="D1" s="106" t="s">
        <v>1355</v>
      </c>
    </row>
    <row r="2" spans="1:4" x14ac:dyDescent="0.3">
      <c r="A2" s="107"/>
      <c r="B2" s="107"/>
      <c r="C2" s="107"/>
      <c r="D2" s="107"/>
    </row>
    <row r="3" spans="1:4" x14ac:dyDescent="0.3">
      <c r="A3" s="107"/>
      <c r="B3" s="107"/>
      <c r="C3" s="107"/>
      <c r="D3" s="107"/>
    </row>
    <row r="4" spans="1:4" x14ac:dyDescent="0.3">
      <c r="A4" s="107"/>
      <c r="B4" s="107"/>
      <c r="C4" s="107"/>
      <c r="D4" s="107"/>
    </row>
    <row r="5" spans="1:4" x14ac:dyDescent="0.3">
      <c r="A5" s="107"/>
      <c r="B5" s="107"/>
      <c r="C5" s="107"/>
      <c r="D5" s="107"/>
    </row>
    <row r="6" spans="1:4" x14ac:dyDescent="0.3">
      <c r="A6" s="107"/>
      <c r="B6" s="107"/>
      <c r="C6" s="107"/>
      <c r="D6" s="107"/>
    </row>
    <row r="7" spans="1:4" x14ac:dyDescent="0.3">
      <c r="A7" s="107"/>
      <c r="B7" s="107"/>
      <c r="C7" s="107"/>
      <c r="D7" s="107"/>
    </row>
    <row r="8" spans="1:4" x14ac:dyDescent="0.3">
      <c r="A8" s="107"/>
      <c r="B8" s="107"/>
      <c r="C8" s="107"/>
      <c r="D8" s="107"/>
    </row>
    <row r="9" spans="1:4" x14ac:dyDescent="0.3">
      <c r="A9" s="107"/>
      <c r="B9" s="107"/>
      <c r="C9" s="107"/>
      <c r="D9" s="107"/>
    </row>
    <row r="10" spans="1:4" x14ac:dyDescent="0.3">
      <c r="A10" s="107"/>
      <c r="B10" s="107"/>
      <c r="C10" s="107"/>
      <c r="D10" s="107"/>
    </row>
    <row r="11" spans="1:4" x14ac:dyDescent="0.3">
      <c r="A11" s="107"/>
      <c r="B11" s="107"/>
      <c r="C11" s="107"/>
      <c r="D11" s="107"/>
    </row>
    <row r="12" spans="1:4" x14ac:dyDescent="0.3">
      <c r="A12" s="107"/>
      <c r="B12" s="107"/>
      <c r="C12" s="107"/>
      <c r="D12" s="107"/>
    </row>
    <row r="13" spans="1:4" x14ac:dyDescent="0.3">
      <c r="A13" s="107"/>
      <c r="B13" s="107"/>
      <c r="C13" s="107"/>
      <c r="D13" s="107"/>
    </row>
    <row r="14" spans="1:4" x14ac:dyDescent="0.3">
      <c r="A14" s="107"/>
      <c r="B14" s="107"/>
      <c r="C14" s="107"/>
      <c r="D14" s="107"/>
    </row>
    <row r="15" spans="1:4" x14ac:dyDescent="0.3">
      <c r="A15" s="107"/>
      <c r="B15" s="107"/>
      <c r="C15" s="107"/>
      <c r="D15" s="107"/>
    </row>
    <row r="16" spans="1:4" x14ac:dyDescent="0.3">
      <c r="A16" s="107"/>
      <c r="B16" s="107"/>
      <c r="C16" s="107"/>
      <c r="D16" s="107"/>
    </row>
    <row r="17" spans="1:4" x14ac:dyDescent="0.3">
      <c r="A17" s="107"/>
      <c r="B17" s="107"/>
      <c r="C17" s="107"/>
      <c r="D17" s="107"/>
    </row>
    <row r="18" spans="1:4" x14ac:dyDescent="0.3">
      <c r="A18" s="107"/>
      <c r="B18" s="107"/>
      <c r="C18" s="107"/>
      <c r="D18" s="107"/>
    </row>
    <row r="19" spans="1:4" x14ac:dyDescent="0.3">
      <c r="A19" s="107"/>
      <c r="B19" s="107"/>
      <c r="C19" s="107"/>
      <c r="D19" s="107"/>
    </row>
    <row r="20" spans="1:4" x14ac:dyDescent="0.3">
      <c r="A20" s="107"/>
      <c r="B20" s="107"/>
      <c r="C20" s="107"/>
      <c r="D20" s="107"/>
    </row>
    <row r="21" spans="1:4" x14ac:dyDescent="0.3">
      <c r="A21" s="107"/>
      <c r="B21" s="107"/>
      <c r="C21" s="107"/>
      <c r="D21" s="107"/>
    </row>
    <row r="22" spans="1:4" x14ac:dyDescent="0.3">
      <c r="A22" s="107"/>
      <c r="B22" s="107"/>
      <c r="C22" s="107"/>
      <c r="D22" s="107"/>
    </row>
    <row r="23" spans="1:4" x14ac:dyDescent="0.3">
      <c r="A23" s="107"/>
      <c r="B23" s="107"/>
      <c r="C23" s="107"/>
      <c r="D23" s="107"/>
    </row>
    <row r="24" spans="1:4" x14ac:dyDescent="0.3">
      <c r="A24" s="107"/>
      <c r="B24" s="107"/>
      <c r="C24" s="107"/>
      <c r="D24" s="107"/>
    </row>
    <row r="25" spans="1:4" x14ac:dyDescent="0.3">
      <c r="A25" s="107"/>
      <c r="B25" s="107"/>
      <c r="C25" s="107"/>
      <c r="D25" s="107"/>
    </row>
    <row r="26" spans="1:4" x14ac:dyDescent="0.3">
      <c r="A26" s="107"/>
      <c r="B26" s="107"/>
      <c r="C26" s="107"/>
      <c r="D26" s="107"/>
    </row>
    <row r="27" spans="1:4" x14ac:dyDescent="0.3">
      <c r="A27" s="107"/>
      <c r="B27" s="107"/>
      <c r="C27" s="107"/>
      <c r="D27" s="107"/>
    </row>
    <row r="28" spans="1:4" x14ac:dyDescent="0.3">
      <c r="A28" s="107"/>
      <c r="B28" s="107"/>
      <c r="C28" s="107"/>
      <c r="D28" s="107"/>
    </row>
    <row r="29" spans="1:4" x14ac:dyDescent="0.3">
      <c r="A29" s="107"/>
      <c r="B29" s="107"/>
      <c r="C29" s="107"/>
      <c r="D29" s="107"/>
    </row>
    <row r="30" spans="1:4" x14ac:dyDescent="0.3">
      <c r="A30" s="107"/>
      <c r="B30" s="107"/>
      <c r="C30" s="107"/>
      <c r="D30" s="107"/>
    </row>
    <row r="31" spans="1:4" x14ac:dyDescent="0.3">
      <c r="A31" s="107"/>
      <c r="B31" s="107"/>
      <c r="C31" s="107"/>
      <c r="D31" s="107"/>
    </row>
    <row r="32" spans="1:4" x14ac:dyDescent="0.3">
      <c r="A32" s="107"/>
      <c r="B32" s="107"/>
      <c r="C32" s="107"/>
      <c r="D32" s="107"/>
    </row>
    <row r="33" spans="1:4" x14ac:dyDescent="0.3">
      <c r="A33" s="107"/>
      <c r="B33" s="107"/>
      <c r="C33" s="107"/>
      <c r="D33" s="107"/>
    </row>
    <row r="34" spans="1:4" x14ac:dyDescent="0.3">
      <c r="A34" s="107"/>
      <c r="B34" s="107"/>
      <c r="C34" s="107"/>
      <c r="D34" s="107"/>
    </row>
    <row r="35" spans="1:4" x14ac:dyDescent="0.3">
      <c r="A35" s="107"/>
      <c r="B35" s="107"/>
      <c r="C35" s="107"/>
      <c r="D35" s="107"/>
    </row>
    <row r="36" spans="1:4" x14ac:dyDescent="0.3">
      <c r="A36" s="107"/>
      <c r="B36" s="107"/>
      <c r="C36" s="107"/>
      <c r="D36" s="107"/>
    </row>
    <row r="37" spans="1:4" x14ac:dyDescent="0.3">
      <c r="A37" s="107"/>
      <c r="B37" s="107"/>
      <c r="C37" s="107"/>
      <c r="D37" s="107"/>
    </row>
    <row r="38" spans="1:4" x14ac:dyDescent="0.3">
      <c r="A38" s="107"/>
      <c r="B38" s="107"/>
      <c r="C38" s="107"/>
      <c r="D38" s="107"/>
    </row>
    <row r="39" spans="1:4" x14ac:dyDescent="0.3">
      <c r="A39" s="107"/>
      <c r="B39" s="107"/>
      <c r="C39" s="107"/>
      <c r="D39" s="107"/>
    </row>
    <row r="40" spans="1:4" x14ac:dyDescent="0.3">
      <c r="A40" s="107"/>
      <c r="B40" s="107"/>
      <c r="C40" s="107"/>
      <c r="D40" s="107"/>
    </row>
    <row r="41" spans="1:4" x14ac:dyDescent="0.3">
      <c r="A41" s="107"/>
      <c r="B41" s="107"/>
      <c r="C41" s="107"/>
      <c r="D41" s="107"/>
    </row>
    <row r="42" spans="1:4" x14ac:dyDescent="0.3">
      <c r="A42" s="107"/>
      <c r="B42" s="66"/>
      <c r="C42" s="66"/>
      <c r="D42" s="66"/>
    </row>
    <row r="43" spans="1:4" x14ac:dyDescent="0.3">
      <c r="A43" s="107"/>
      <c r="B43" s="66"/>
      <c r="C43" s="66"/>
      <c r="D43" s="66"/>
    </row>
    <row r="44" spans="1:4" x14ac:dyDescent="0.3">
      <c r="A44" s="107"/>
      <c r="B44" s="66"/>
      <c r="C44" s="66"/>
      <c r="D44" s="66"/>
    </row>
    <row r="45" spans="1:4" x14ac:dyDescent="0.3">
      <c r="A45" s="107"/>
      <c r="B45" s="66"/>
      <c r="C45" s="66"/>
      <c r="D45" s="66"/>
    </row>
    <row r="46" spans="1:4" x14ac:dyDescent="0.3">
      <c r="A46" s="107"/>
      <c r="B46" s="66"/>
      <c r="C46" s="66"/>
      <c r="D46" s="66"/>
    </row>
    <row r="47" spans="1:4" x14ac:dyDescent="0.3">
      <c r="A47" s="107"/>
      <c r="B47" s="66"/>
      <c r="C47" s="66"/>
      <c r="D47" s="66"/>
    </row>
    <row r="48" spans="1:4" x14ac:dyDescent="0.3">
      <c r="A48" s="107"/>
      <c r="B48" s="66"/>
      <c r="C48" s="66"/>
      <c r="D48" s="66"/>
    </row>
    <row r="49" spans="1:4" x14ac:dyDescent="0.3">
      <c r="A49" s="107"/>
      <c r="B49" s="66"/>
      <c r="C49" s="66"/>
      <c r="D49" s="66"/>
    </row>
    <row r="50" spans="1:4" x14ac:dyDescent="0.3">
      <c r="A50" s="107"/>
      <c r="B50" s="66"/>
      <c r="C50" s="66"/>
      <c r="D50" s="66"/>
    </row>
    <row r="51" spans="1:4" x14ac:dyDescent="0.3">
      <c r="A51" s="107"/>
      <c r="B51" s="66"/>
      <c r="C51" s="66"/>
      <c r="D51" s="66"/>
    </row>
    <row r="52" spans="1:4" x14ac:dyDescent="0.3">
      <c r="A52" s="107"/>
      <c r="B52" s="66"/>
      <c r="C52" s="66"/>
      <c r="D52" s="66"/>
    </row>
    <row r="53" spans="1:4" x14ac:dyDescent="0.3">
      <c r="A53" s="107"/>
      <c r="B53" s="66"/>
      <c r="C53" s="66"/>
      <c r="D53" s="66"/>
    </row>
    <row r="54" spans="1:4" x14ac:dyDescent="0.3">
      <c r="A54" s="107"/>
      <c r="B54" s="66"/>
      <c r="C54" s="66"/>
      <c r="D54" s="66"/>
    </row>
    <row r="55" spans="1:4" x14ac:dyDescent="0.3">
      <c r="A55" s="107"/>
      <c r="B55" s="66"/>
      <c r="C55" s="66"/>
      <c r="D55" s="66"/>
    </row>
    <row r="56" spans="1:4" x14ac:dyDescent="0.3">
      <c r="A56" s="107"/>
      <c r="B56" s="66"/>
      <c r="C56" s="66"/>
      <c r="D56" s="66"/>
    </row>
    <row r="57" spans="1:4" x14ac:dyDescent="0.3">
      <c r="A57" s="107"/>
      <c r="B57" s="66"/>
      <c r="C57" s="66"/>
      <c r="D57" s="66"/>
    </row>
    <row r="58" spans="1:4" x14ac:dyDescent="0.3">
      <c r="A58" s="107"/>
      <c r="B58" s="66"/>
      <c r="C58" s="66"/>
      <c r="D58" s="66"/>
    </row>
    <row r="59" spans="1:4" x14ac:dyDescent="0.3">
      <c r="A59" s="107"/>
      <c r="B59" s="66"/>
      <c r="C59" s="66"/>
      <c r="D59" s="66"/>
    </row>
    <row r="60" spans="1:4" x14ac:dyDescent="0.3">
      <c r="A60" s="107"/>
      <c r="B60" s="66"/>
      <c r="C60" s="66"/>
      <c r="D60" s="66"/>
    </row>
    <row r="61" spans="1:4" x14ac:dyDescent="0.3">
      <c r="A61" s="107"/>
      <c r="B61" s="66"/>
      <c r="C61" s="66"/>
      <c r="D61" s="66"/>
    </row>
    <row r="62" spans="1:4" x14ac:dyDescent="0.3">
      <c r="A62" s="107"/>
      <c r="B62" s="66"/>
      <c r="C62" s="66"/>
      <c r="D62" s="66"/>
    </row>
    <row r="63" spans="1:4" x14ac:dyDescent="0.3">
      <c r="A63" s="107"/>
      <c r="B63" s="66"/>
      <c r="C63" s="66"/>
      <c r="D63" s="66"/>
    </row>
    <row r="64" spans="1:4" x14ac:dyDescent="0.3">
      <c r="A64" s="107"/>
      <c r="B64" s="66"/>
      <c r="C64" s="66"/>
      <c r="D64" s="66"/>
    </row>
    <row r="65" spans="1:4" x14ac:dyDescent="0.3">
      <c r="A65" s="107"/>
      <c r="B65" s="66"/>
      <c r="C65" s="66"/>
      <c r="D65" s="66"/>
    </row>
    <row r="66" spans="1:4" x14ac:dyDescent="0.3">
      <c r="A66" s="107"/>
      <c r="B66" s="66"/>
      <c r="C66" s="66"/>
      <c r="D66" s="66"/>
    </row>
    <row r="67" spans="1:4" x14ac:dyDescent="0.3">
      <c r="A67" s="107"/>
      <c r="B67" s="66"/>
      <c r="C67" s="66"/>
      <c r="D67" s="66"/>
    </row>
    <row r="68" spans="1:4" x14ac:dyDescent="0.3">
      <c r="A68" s="107"/>
      <c r="B68" s="66"/>
      <c r="C68" s="66"/>
      <c r="D68" s="66"/>
    </row>
    <row r="69" spans="1:4" x14ac:dyDescent="0.3">
      <c r="A69" s="107"/>
      <c r="B69" s="66"/>
      <c r="C69" s="66"/>
      <c r="D69" s="66"/>
    </row>
    <row r="70" spans="1:4" x14ac:dyDescent="0.3">
      <c r="A70" s="107"/>
      <c r="B70" s="66"/>
      <c r="C70" s="66"/>
      <c r="D70" s="66"/>
    </row>
    <row r="71" spans="1:4" x14ac:dyDescent="0.3">
      <c r="A71" s="107"/>
      <c r="B71" s="66"/>
      <c r="C71" s="66"/>
      <c r="D71" s="66"/>
    </row>
    <row r="72" spans="1:4" x14ac:dyDescent="0.3">
      <c r="A72" s="107"/>
      <c r="B72" s="66"/>
      <c r="C72" s="66"/>
      <c r="D72" s="66"/>
    </row>
    <row r="73" spans="1:4" x14ac:dyDescent="0.3">
      <c r="A73" s="107"/>
      <c r="B73" s="66"/>
      <c r="C73" s="66"/>
      <c r="D73" s="66"/>
    </row>
    <row r="74" spans="1:4" x14ac:dyDescent="0.3">
      <c r="A74" s="107"/>
      <c r="B74" s="66"/>
      <c r="C74" s="66"/>
      <c r="D74" s="66"/>
    </row>
    <row r="75" spans="1:4" x14ac:dyDescent="0.3">
      <c r="A75" s="107"/>
      <c r="B75" s="66"/>
      <c r="C75" s="66"/>
      <c r="D75" s="66"/>
    </row>
    <row r="76" spans="1:4" x14ac:dyDescent="0.3">
      <c r="A76" s="107"/>
      <c r="B76" s="66"/>
      <c r="C76" s="66"/>
      <c r="D76" s="66"/>
    </row>
    <row r="77" spans="1:4" x14ac:dyDescent="0.3">
      <c r="A77" s="107"/>
      <c r="B77" s="66"/>
      <c r="C77" s="66"/>
      <c r="D77" s="66"/>
    </row>
    <row r="78" spans="1:4" x14ac:dyDescent="0.3">
      <c r="A78" s="107"/>
      <c r="B78" s="66"/>
      <c r="C78" s="66"/>
      <c r="D78" s="66"/>
    </row>
    <row r="79" spans="1:4" x14ac:dyDescent="0.3">
      <c r="A79" s="107"/>
      <c r="B79" s="66"/>
      <c r="C79" s="66"/>
      <c r="D79" s="66"/>
    </row>
    <row r="80" spans="1:4" x14ac:dyDescent="0.3">
      <c r="A80" s="107"/>
      <c r="B80" s="66"/>
      <c r="C80" s="66"/>
      <c r="D80" s="66"/>
    </row>
    <row r="81" spans="1:4" x14ac:dyDescent="0.3">
      <c r="A81" s="107"/>
      <c r="B81" s="66"/>
      <c r="C81" s="66"/>
      <c r="D81" s="66"/>
    </row>
    <row r="82" spans="1:4" x14ac:dyDescent="0.3">
      <c r="A82" s="107"/>
      <c r="B82" s="66"/>
      <c r="C82" s="66"/>
      <c r="D82" s="66"/>
    </row>
    <row r="83" spans="1:4" x14ac:dyDescent="0.3">
      <c r="A83" s="107"/>
      <c r="B83" s="66"/>
      <c r="C83" s="66"/>
      <c r="D83" s="66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0">
    <tabColor rgb="FF00B0F0"/>
  </sheetPr>
  <dimension ref="A1:D8"/>
  <sheetViews>
    <sheetView workbookViewId="0">
      <selection activeCell="A3" sqref="A3:XFD5"/>
    </sheetView>
  </sheetViews>
  <sheetFormatPr defaultRowHeight="14.4" x14ac:dyDescent="0.3"/>
  <cols>
    <col min="1" max="1" width="42.77734375" bestFit="1" customWidth="1"/>
    <col min="2" max="2" width="63.21875" customWidth="1"/>
    <col min="3" max="4" width="35.33203125" customWidth="1"/>
  </cols>
  <sheetData>
    <row r="1" spans="1:4" x14ac:dyDescent="0.3">
      <c r="A1" s="26" t="s">
        <v>1356</v>
      </c>
      <c r="B1" s="26" t="s">
        <v>1357</v>
      </c>
      <c r="C1" s="26" t="s">
        <v>1331</v>
      </c>
      <c r="D1" s="26" t="s">
        <v>1358</v>
      </c>
    </row>
    <row r="2" spans="1:4" x14ac:dyDescent="0.3">
      <c r="A2" s="23"/>
      <c r="B2" s="44"/>
      <c r="C2" s="22"/>
      <c r="D2" s="23"/>
    </row>
    <row r="7" spans="1:4" x14ac:dyDescent="0.3">
      <c r="B7" s="21"/>
      <c r="C7" s="23"/>
      <c r="D7" s="23"/>
    </row>
    <row r="8" spans="1:4" x14ac:dyDescent="0.3">
      <c r="B8" s="21"/>
      <c r="C8" s="23"/>
      <c r="D8" s="2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3">
    <tabColor rgb="FF00B0F0"/>
  </sheetPr>
  <dimension ref="A1:G4"/>
  <sheetViews>
    <sheetView workbookViewId="0">
      <selection activeCell="C3" sqref="C3"/>
    </sheetView>
  </sheetViews>
  <sheetFormatPr defaultRowHeight="14.4" x14ac:dyDescent="0.3"/>
  <cols>
    <col min="1" max="1" width="17.21875" customWidth="1"/>
    <col min="2" max="2" width="50.21875" customWidth="1"/>
    <col min="3" max="3" width="10.33203125" bestFit="1" customWidth="1"/>
    <col min="6" max="6" width="31.77734375" bestFit="1" customWidth="1"/>
    <col min="7" max="7" width="15" bestFit="1" customWidth="1"/>
  </cols>
  <sheetData>
    <row r="1" spans="1:7" ht="15" customHeight="1" thickBot="1" x14ac:dyDescent="0.35">
      <c r="A1" s="119" t="s">
        <v>1359</v>
      </c>
      <c r="B1" s="119" t="s">
        <v>1360</v>
      </c>
      <c r="C1" s="120" t="s">
        <v>1361</v>
      </c>
    </row>
    <row r="2" spans="1:7" ht="18" customHeight="1" x14ac:dyDescent="0.3">
      <c r="A2" s="23" t="s">
        <v>1362</v>
      </c>
      <c r="C2" s="23" t="s">
        <v>1363</v>
      </c>
      <c r="F2" s="90"/>
      <c r="G2" s="90"/>
    </row>
    <row r="4" spans="1:7" x14ac:dyDescent="0.3">
      <c r="D4" s="90"/>
      <c r="G4" s="90"/>
    </row>
  </sheetData>
  <pageMargins left="0.7" right="0.7" top="0.75" bottom="0.75" header="0.3" footer="0.3"/>
  <pageSetup paperSize="9" orientation="portrait" horizontalDpi="4294967293" verticalDpi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">
    <tabColor theme="5" tint="-0.499984740745262"/>
  </sheetPr>
  <dimension ref="A1:B13"/>
  <sheetViews>
    <sheetView zoomScale="70" zoomScaleNormal="70" workbookViewId="0">
      <selection activeCell="D40" sqref="D40"/>
    </sheetView>
  </sheetViews>
  <sheetFormatPr defaultColWidth="8.5546875" defaultRowHeight="14.4" x14ac:dyDescent="0.3"/>
  <cols>
    <col min="1" max="1" width="43.33203125" customWidth="1"/>
    <col min="2" max="2" width="94.5546875" bestFit="1" customWidth="1"/>
    <col min="4" max="4" width="94.5546875" bestFit="1" customWidth="1"/>
    <col min="5" max="5" width="87.5546875" customWidth="1"/>
    <col min="6" max="8" width="1.5546875" customWidth="1"/>
  </cols>
  <sheetData>
    <row r="1" spans="1:2" ht="23.1" customHeight="1" thickBot="1" x14ac:dyDescent="0.5">
      <c r="A1" s="9" t="s">
        <v>1364</v>
      </c>
    </row>
    <row r="2" spans="1:2" ht="15" customHeight="1" thickBot="1" x14ac:dyDescent="0.35">
      <c r="A2" s="87" t="s">
        <v>1365</v>
      </c>
      <c r="B2" s="87" t="s">
        <v>1366</v>
      </c>
    </row>
    <row r="3" spans="1:2" x14ac:dyDescent="0.3">
      <c r="A3" t="s">
        <v>1367</v>
      </c>
      <c r="B3" t="s">
        <v>1368</v>
      </c>
    </row>
    <row r="4" spans="1:2" x14ac:dyDescent="0.3">
      <c r="A4" t="s">
        <v>1369</v>
      </c>
      <c r="B4" t="s">
        <v>1370</v>
      </c>
    </row>
    <row r="5" spans="1:2" x14ac:dyDescent="0.3">
      <c r="A5" t="s">
        <v>1371</v>
      </c>
    </row>
    <row r="6" spans="1:2" x14ac:dyDescent="0.3">
      <c r="A6" t="s">
        <v>1372</v>
      </c>
    </row>
    <row r="7" spans="1:2" x14ac:dyDescent="0.3">
      <c r="A7" t="s">
        <v>1373</v>
      </c>
    </row>
    <row r="11" spans="1:2" x14ac:dyDescent="0.3">
      <c r="A11" t="s">
        <v>1374</v>
      </c>
    </row>
    <row r="12" spans="1:2" x14ac:dyDescent="0.3">
      <c r="A12" t="s">
        <v>1375</v>
      </c>
    </row>
    <row r="13" spans="1:2" x14ac:dyDescent="0.3">
      <c r="A13" t="s">
        <v>1376</v>
      </c>
    </row>
  </sheetData>
  <pageMargins left="0.7" right="0.7" top="0.75" bottom="0.75" header="0.3" footer="0.3"/>
  <pageSetup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">
    <tabColor rgb="FF00B050"/>
  </sheetPr>
  <dimension ref="A1:D528"/>
  <sheetViews>
    <sheetView zoomScale="86" zoomScaleNormal="86" workbookViewId="0">
      <selection activeCell="C6" sqref="C6"/>
    </sheetView>
  </sheetViews>
  <sheetFormatPr defaultColWidth="8.5546875" defaultRowHeight="14.4" x14ac:dyDescent="0.3"/>
  <cols>
    <col min="1" max="1" width="26.33203125" customWidth="1"/>
    <col min="2" max="2" width="12.33203125" customWidth="1"/>
    <col min="3" max="3" width="87.5546875" customWidth="1"/>
    <col min="4" max="4" width="39.5546875" bestFit="1" customWidth="1"/>
  </cols>
  <sheetData>
    <row r="1" spans="1:4" ht="15" customHeight="1" thickBot="1" x14ac:dyDescent="0.35">
      <c r="A1" s="87" t="s">
        <v>1377</v>
      </c>
      <c r="B1" s="87" t="s">
        <v>1378</v>
      </c>
      <c r="C1" s="10" t="s">
        <v>1379</v>
      </c>
      <c r="D1" s="10" t="s">
        <v>1380</v>
      </c>
    </row>
    <row r="2" spans="1:4" ht="16.350000000000001" customHeight="1" thickBot="1" x14ac:dyDescent="0.35">
      <c r="A2" s="199" t="s">
        <v>1381</v>
      </c>
      <c r="B2" s="195"/>
      <c r="C2" s="195"/>
      <c r="D2" s="196"/>
    </row>
    <row r="3" spans="1:4" ht="15" customHeight="1" thickBot="1" x14ac:dyDescent="0.35">
      <c r="A3" s="200" t="s">
        <v>1382</v>
      </c>
      <c r="B3" s="196"/>
      <c r="C3" s="74"/>
      <c r="D3" s="74"/>
    </row>
    <row r="4" spans="1:4" ht="15" customHeight="1" thickBot="1" x14ac:dyDescent="0.35">
      <c r="A4" s="74"/>
      <c r="B4" s="74"/>
      <c r="C4" s="74"/>
      <c r="D4" s="74"/>
    </row>
    <row r="5" spans="1:4" ht="15" customHeight="1" thickBot="1" x14ac:dyDescent="0.35">
      <c r="A5" s="74"/>
      <c r="B5" s="74"/>
      <c r="C5" s="74"/>
      <c r="D5" s="74"/>
    </row>
    <row r="6" spans="1:4" ht="15" customHeight="1" thickBot="1" x14ac:dyDescent="0.35">
      <c r="A6" s="74"/>
      <c r="B6" s="74"/>
      <c r="C6" s="74"/>
      <c r="D6" s="74"/>
    </row>
    <row r="7" spans="1:4" ht="15" customHeight="1" thickBot="1" x14ac:dyDescent="0.35">
      <c r="A7" s="74"/>
      <c r="B7" s="74"/>
      <c r="C7" s="74"/>
      <c r="D7" s="74"/>
    </row>
    <row r="8" spans="1:4" ht="15" customHeight="1" thickBot="1" x14ac:dyDescent="0.35">
      <c r="A8" s="74"/>
      <c r="B8" s="74"/>
      <c r="C8" s="74"/>
      <c r="D8" s="74"/>
    </row>
    <row r="9" spans="1:4" ht="15" customHeight="1" thickBot="1" x14ac:dyDescent="0.35">
      <c r="A9" s="74">
        <v>2</v>
      </c>
      <c r="B9" s="74"/>
      <c r="C9" s="74"/>
      <c r="D9" s="74"/>
    </row>
    <row r="10" spans="1:4" ht="15" customHeight="1" thickBot="1" x14ac:dyDescent="0.35">
      <c r="A10" s="74"/>
      <c r="B10" s="74"/>
      <c r="C10" s="74"/>
      <c r="D10" s="74"/>
    </row>
    <row r="11" spans="1:4" ht="15" customHeight="1" thickBot="1" x14ac:dyDescent="0.35">
      <c r="A11" s="74"/>
      <c r="B11" s="74"/>
      <c r="C11" s="74"/>
      <c r="D11" s="74"/>
    </row>
    <row r="12" spans="1:4" ht="15" customHeight="1" thickBot="1" x14ac:dyDescent="0.35">
      <c r="A12" s="74"/>
      <c r="B12" s="74"/>
      <c r="C12" s="74"/>
      <c r="D12" s="74"/>
    </row>
    <row r="13" spans="1:4" ht="15" customHeight="1" thickBot="1" x14ac:dyDescent="0.35">
      <c r="A13" s="74"/>
      <c r="B13" s="74"/>
      <c r="C13" s="74"/>
      <c r="D13" s="74"/>
    </row>
    <row r="14" spans="1:4" ht="16.350000000000001" customHeight="1" thickBot="1" x14ac:dyDescent="0.35">
      <c r="A14" s="199" t="s">
        <v>1383</v>
      </c>
      <c r="B14" s="195"/>
      <c r="C14" s="195"/>
      <c r="D14" s="196"/>
    </row>
    <row r="15" spans="1:4" ht="15" customHeight="1" thickBot="1" x14ac:dyDescent="0.35">
      <c r="A15" s="74"/>
      <c r="B15" s="74"/>
      <c r="C15" s="74"/>
      <c r="D15" s="74"/>
    </row>
    <row r="16" spans="1:4" ht="35.85" customHeight="1" thickBot="1" x14ac:dyDescent="0.35">
      <c r="A16" s="74" t="s">
        <v>1384</v>
      </c>
      <c r="B16" s="74"/>
      <c r="C16" s="74" t="s">
        <v>1385</v>
      </c>
      <c r="D16" s="74"/>
    </row>
    <row r="17" spans="1:4" ht="35.85" customHeight="1" thickBot="1" x14ac:dyDescent="0.35">
      <c r="A17" s="11"/>
      <c r="B17" s="11"/>
      <c r="C17" s="12"/>
      <c r="D17" s="11"/>
    </row>
    <row r="18" spans="1:4" ht="16.350000000000001" customHeight="1" thickBot="1" x14ac:dyDescent="0.35">
      <c r="A18" s="199" t="s">
        <v>1386</v>
      </c>
      <c r="B18" s="195"/>
      <c r="C18" s="195"/>
      <c r="D18" s="196"/>
    </row>
    <row r="19" spans="1:4" ht="35.85" customHeight="1" thickBot="1" x14ac:dyDescent="0.35">
      <c r="A19" s="201" t="s">
        <v>1387</v>
      </c>
      <c r="B19" s="190"/>
      <c r="C19" s="190"/>
      <c r="D19" s="190"/>
    </row>
    <row r="20" spans="1:4" ht="16.350000000000001" customHeight="1" thickBot="1" x14ac:dyDescent="0.35">
      <c r="A20" s="199" t="s">
        <v>1388</v>
      </c>
      <c r="B20" s="195"/>
      <c r="C20" s="195"/>
      <c r="D20" s="196"/>
    </row>
    <row r="21" spans="1:4" ht="15" customHeight="1" thickBot="1" x14ac:dyDescent="0.35">
      <c r="A21" t="s">
        <v>1388</v>
      </c>
      <c r="C21" s="12" t="s">
        <v>1389</v>
      </c>
      <c r="D21" s="12" t="s">
        <v>1390</v>
      </c>
    </row>
    <row r="22" spans="1:4" ht="15" customHeight="1" thickBot="1" x14ac:dyDescent="0.35">
      <c r="A22" s="74"/>
      <c r="B22" s="74"/>
      <c r="C22" s="74"/>
      <c r="D22" s="74"/>
    </row>
    <row r="23" spans="1:4" ht="16.350000000000001" customHeight="1" thickBot="1" x14ac:dyDescent="0.35">
      <c r="A23" s="199" t="s">
        <v>1391</v>
      </c>
      <c r="B23" s="195"/>
      <c r="C23" s="195"/>
      <c r="D23" s="196"/>
    </row>
    <row r="24" spans="1:4" ht="15" customHeight="1" thickBot="1" x14ac:dyDescent="0.35">
      <c r="A24" s="74"/>
      <c r="B24" s="74"/>
      <c r="C24" s="74"/>
      <c r="D24" s="74"/>
    </row>
    <row r="25" spans="1:4" ht="15" customHeight="1" thickBot="1" x14ac:dyDescent="0.35">
      <c r="A25" s="74"/>
      <c r="B25" s="74"/>
      <c r="C25" s="74"/>
      <c r="D25" s="74"/>
    </row>
    <row r="26" spans="1:4" ht="67.349999999999994" customHeight="1" thickBot="1" x14ac:dyDescent="0.35">
      <c r="A26" s="74" t="s">
        <v>1392</v>
      </c>
      <c r="B26" s="74"/>
      <c r="C26" s="74" t="s">
        <v>1393</v>
      </c>
      <c r="D26" s="88" t="s">
        <v>1394</v>
      </c>
    </row>
    <row r="27" spans="1:4" ht="15" customHeight="1" thickBot="1" x14ac:dyDescent="0.35">
      <c r="A27" s="74"/>
      <c r="B27" s="74"/>
      <c r="C27" s="74"/>
      <c r="D27" s="74"/>
    </row>
    <row r="28" spans="1:4" ht="15" customHeight="1" thickBot="1" x14ac:dyDescent="0.35">
      <c r="A28" s="74"/>
      <c r="B28" s="74"/>
      <c r="C28" s="74"/>
      <c r="D28" s="74"/>
    </row>
    <row r="29" spans="1:4" ht="15" customHeight="1" thickBot="1" x14ac:dyDescent="0.35">
      <c r="A29" s="74"/>
      <c r="B29" s="74"/>
      <c r="C29" s="74"/>
      <c r="D29" s="74"/>
    </row>
    <row r="30" spans="1:4" ht="15" customHeight="1" thickBot="1" x14ac:dyDescent="0.35">
      <c r="A30" s="74"/>
      <c r="B30" s="74"/>
      <c r="C30" s="74"/>
      <c r="D30" s="74"/>
    </row>
    <row r="31" spans="1:4" ht="15" customHeight="1" thickBot="1" x14ac:dyDescent="0.35">
      <c r="A31" s="74"/>
      <c r="B31" s="74"/>
      <c r="C31" s="74"/>
      <c r="D31" s="74"/>
    </row>
    <row r="32" spans="1:4" ht="15" customHeight="1" thickBot="1" x14ac:dyDescent="0.35">
      <c r="A32" s="74"/>
      <c r="B32" s="74"/>
      <c r="C32" s="74"/>
      <c r="D32" s="74"/>
    </row>
    <row r="33" spans="1:4" ht="15" customHeight="1" thickBot="1" x14ac:dyDescent="0.35">
      <c r="A33" s="74"/>
      <c r="B33" s="74"/>
      <c r="C33" s="74"/>
      <c r="D33" s="74"/>
    </row>
    <row r="34" spans="1:4" ht="15" customHeight="1" thickBot="1" x14ac:dyDescent="0.35">
      <c r="A34" s="74"/>
      <c r="B34" s="74"/>
      <c r="C34" s="74"/>
      <c r="D34" s="74"/>
    </row>
    <row r="35" spans="1:4" ht="15" customHeight="1" thickBot="1" x14ac:dyDescent="0.35">
      <c r="A35" s="74"/>
      <c r="B35" s="74"/>
      <c r="C35" s="74"/>
      <c r="D35" s="74"/>
    </row>
    <row r="36" spans="1:4" ht="15" customHeight="1" thickBot="1" x14ac:dyDescent="0.35">
      <c r="A36" s="74"/>
      <c r="B36" s="74"/>
      <c r="C36" s="74"/>
      <c r="D36" s="74"/>
    </row>
    <row r="37" spans="1:4" ht="15" customHeight="1" thickBot="1" x14ac:dyDescent="0.35">
      <c r="A37" s="74"/>
      <c r="B37" s="74"/>
      <c r="C37" s="74"/>
      <c r="D37" s="74"/>
    </row>
    <row r="38" spans="1:4" ht="15" customHeight="1" thickBot="1" x14ac:dyDescent="0.35">
      <c r="A38" s="74"/>
      <c r="B38" s="74"/>
      <c r="C38" s="74"/>
      <c r="D38" s="74"/>
    </row>
    <row r="39" spans="1:4" ht="15" customHeight="1" thickBot="1" x14ac:dyDescent="0.35">
      <c r="A39" s="74"/>
      <c r="B39" s="74"/>
      <c r="C39" s="74"/>
      <c r="D39" s="74"/>
    </row>
    <row r="40" spans="1:4" ht="15" customHeight="1" thickBot="1" x14ac:dyDescent="0.35">
      <c r="A40" s="74"/>
      <c r="B40" s="74"/>
      <c r="C40" s="74"/>
      <c r="D40" s="74"/>
    </row>
    <row r="41" spans="1:4" ht="15" customHeight="1" thickBot="1" x14ac:dyDescent="0.35">
      <c r="A41" s="74"/>
      <c r="B41" s="74"/>
      <c r="C41" s="74"/>
      <c r="D41" s="74"/>
    </row>
    <row r="42" spans="1:4" ht="15" customHeight="1" thickBot="1" x14ac:dyDescent="0.35">
      <c r="A42" s="74"/>
      <c r="B42" s="74"/>
      <c r="C42" s="74"/>
      <c r="D42" s="74"/>
    </row>
    <row r="43" spans="1:4" ht="15" customHeight="1" thickBot="1" x14ac:dyDescent="0.35">
      <c r="A43" s="74"/>
      <c r="B43" s="74"/>
      <c r="C43" s="74"/>
      <c r="D43" s="74"/>
    </row>
    <row r="44" spans="1:4" ht="15" customHeight="1" thickBot="1" x14ac:dyDescent="0.35">
      <c r="A44" s="74"/>
      <c r="B44" s="74"/>
      <c r="C44" s="74"/>
      <c r="D44" s="74"/>
    </row>
    <row r="45" spans="1:4" ht="15" customHeight="1" thickBot="1" x14ac:dyDescent="0.35">
      <c r="A45" s="74"/>
      <c r="B45" s="74"/>
      <c r="C45" s="74"/>
      <c r="D45" s="74"/>
    </row>
    <row r="46" spans="1:4" ht="15" customHeight="1" thickBot="1" x14ac:dyDescent="0.35">
      <c r="A46" s="74"/>
      <c r="B46" s="74"/>
      <c r="C46" s="74"/>
      <c r="D46" s="74"/>
    </row>
    <row r="47" spans="1:4" ht="15" customHeight="1" thickBot="1" x14ac:dyDescent="0.35">
      <c r="A47" s="74"/>
      <c r="B47" s="74"/>
      <c r="C47" s="74"/>
      <c r="D47" s="74"/>
    </row>
    <row r="48" spans="1:4" ht="15" customHeight="1" thickBot="1" x14ac:dyDescent="0.35">
      <c r="A48" s="74"/>
      <c r="B48" s="74"/>
      <c r="C48" s="74"/>
      <c r="D48" s="74"/>
    </row>
    <row r="49" spans="1:4" ht="15" customHeight="1" thickBot="1" x14ac:dyDescent="0.35">
      <c r="A49" s="74"/>
      <c r="B49" s="74"/>
      <c r="C49" s="74"/>
      <c r="D49" s="74"/>
    </row>
    <row r="50" spans="1:4" ht="15" customHeight="1" thickBot="1" x14ac:dyDescent="0.35">
      <c r="A50" s="74"/>
      <c r="B50" s="74"/>
      <c r="C50" s="74"/>
      <c r="D50" s="74"/>
    </row>
    <row r="51" spans="1:4" ht="15" customHeight="1" thickBot="1" x14ac:dyDescent="0.35">
      <c r="A51" s="74"/>
      <c r="B51" s="74"/>
      <c r="C51" s="74"/>
      <c r="D51" s="74"/>
    </row>
    <row r="52" spans="1:4" ht="15" customHeight="1" thickBot="1" x14ac:dyDescent="0.35">
      <c r="A52" s="74"/>
      <c r="B52" s="74"/>
      <c r="C52" s="74"/>
      <c r="D52" s="74"/>
    </row>
    <row r="53" spans="1:4" ht="15" customHeight="1" thickBot="1" x14ac:dyDescent="0.35">
      <c r="A53" s="74"/>
      <c r="B53" s="74"/>
      <c r="C53" s="74"/>
      <c r="D53" s="74"/>
    </row>
    <row r="54" spans="1:4" ht="15" customHeight="1" thickBot="1" x14ac:dyDescent="0.35">
      <c r="A54" s="74"/>
      <c r="B54" s="74"/>
      <c r="C54" s="74"/>
      <c r="D54" s="74"/>
    </row>
    <row r="55" spans="1:4" ht="15" customHeight="1" thickBot="1" x14ac:dyDescent="0.35">
      <c r="A55" s="74"/>
      <c r="B55" s="74"/>
      <c r="C55" s="74"/>
      <c r="D55" s="74"/>
    </row>
    <row r="56" spans="1:4" ht="15" customHeight="1" thickBot="1" x14ac:dyDescent="0.35">
      <c r="A56" s="74"/>
      <c r="B56" s="74"/>
      <c r="C56" s="74"/>
      <c r="D56" s="74"/>
    </row>
    <row r="57" spans="1:4" ht="15" customHeight="1" thickBot="1" x14ac:dyDescent="0.35">
      <c r="A57" s="74"/>
      <c r="B57" s="74"/>
      <c r="C57" s="74"/>
      <c r="D57" s="74"/>
    </row>
    <row r="58" spans="1:4" ht="15" customHeight="1" thickBot="1" x14ac:dyDescent="0.35">
      <c r="A58" s="74"/>
      <c r="B58" s="74"/>
      <c r="C58" s="74"/>
      <c r="D58" s="74"/>
    </row>
    <row r="59" spans="1:4" ht="15" customHeight="1" thickBot="1" x14ac:dyDescent="0.35">
      <c r="A59" s="74"/>
      <c r="B59" s="74"/>
      <c r="C59" s="74"/>
      <c r="D59" s="74"/>
    </row>
    <row r="60" spans="1:4" ht="15" customHeight="1" thickBot="1" x14ac:dyDescent="0.35">
      <c r="A60" s="74"/>
      <c r="B60" s="74"/>
      <c r="C60" s="74"/>
      <c r="D60" s="74"/>
    </row>
    <row r="61" spans="1:4" ht="15" customHeight="1" thickBot="1" x14ac:dyDescent="0.35">
      <c r="A61" s="74"/>
      <c r="B61" s="74"/>
      <c r="C61" s="74"/>
      <c r="D61" s="74"/>
    </row>
    <row r="62" spans="1:4" ht="15" customHeight="1" thickBot="1" x14ac:dyDescent="0.35">
      <c r="A62" s="74"/>
      <c r="B62" s="74"/>
      <c r="C62" s="74"/>
      <c r="D62" s="74"/>
    </row>
    <row r="63" spans="1:4" ht="15" customHeight="1" thickBot="1" x14ac:dyDescent="0.35">
      <c r="A63" s="74"/>
      <c r="B63" s="74"/>
      <c r="C63" s="74"/>
      <c r="D63" s="74"/>
    </row>
    <row r="64" spans="1:4" ht="15" customHeight="1" thickBot="1" x14ac:dyDescent="0.35">
      <c r="A64" s="74"/>
      <c r="B64" s="74"/>
      <c r="C64" s="74"/>
      <c r="D64" s="74"/>
    </row>
    <row r="65" spans="1:4" ht="15" customHeight="1" thickBot="1" x14ac:dyDescent="0.35">
      <c r="A65" s="74"/>
      <c r="B65" s="74"/>
      <c r="C65" s="74"/>
      <c r="D65" s="74"/>
    </row>
    <row r="66" spans="1:4" ht="15" customHeight="1" thickBot="1" x14ac:dyDescent="0.35">
      <c r="A66" s="74"/>
      <c r="B66" s="74"/>
      <c r="C66" s="74"/>
      <c r="D66" s="74"/>
    </row>
    <row r="67" spans="1:4" ht="15" customHeight="1" thickBot="1" x14ac:dyDescent="0.35">
      <c r="A67" s="74"/>
      <c r="B67" s="74"/>
      <c r="C67" s="74"/>
      <c r="D67" s="74"/>
    </row>
    <row r="68" spans="1:4" ht="15" customHeight="1" thickBot="1" x14ac:dyDescent="0.35">
      <c r="A68" s="74"/>
      <c r="B68" s="74"/>
      <c r="C68" s="74"/>
      <c r="D68" s="74"/>
    </row>
    <row r="69" spans="1:4" ht="15" customHeight="1" thickBot="1" x14ac:dyDescent="0.35">
      <c r="A69" s="74"/>
      <c r="B69" s="74"/>
      <c r="C69" s="74"/>
      <c r="D69" s="74"/>
    </row>
    <row r="70" spans="1:4" ht="15" customHeight="1" thickBot="1" x14ac:dyDescent="0.35">
      <c r="A70" s="74"/>
      <c r="B70" s="74"/>
      <c r="C70" s="74"/>
      <c r="D70" s="74"/>
    </row>
    <row r="71" spans="1:4" ht="15" customHeight="1" thickBot="1" x14ac:dyDescent="0.35">
      <c r="A71" s="74"/>
      <c r="B71" s="74"/>
      <c r="C71" s="74"/>
      <c r="D71" s="74"/>
    </row>
    <row r="72" spans="1:4" ht="15" customHeight="1" thickBot="1" x14ac:dyDescent="0.35">
      <c r="A72" s="74"/>
      <c r="B72" s="74"/>
      <c r="C72" s="74"/>
      <c r="D72" s="74"/>
    </row>
    <row r="73" spans="1:4" ht="15" customHeight="1" thickBot="1" x14ac:dyDescent="0.35">
      <c r="A73" s="74"/>
      <c r="B73" s="74"/>
      <c r="C73" s="74"/>
      <c r="D73" s="74"/>
    </row>
    <row r="74" spans="1:4" ht="15" customHeight="1" thickBot="1" x14ac:dyDescent="0.35">
      <c r="A74" s="74"/>
      <c r="B74" s="74"/>
      <c r="C74" s="74"/>
      <c r="D74" s="74"/>
    </row>
    <row r="75" spans="1:4" ht="15" customHeight="1" thickBot="1" x14ac:dyDescent="0.35">
      <c r="A75" s="74"/>
      <c r="B75" s="74"/>
      <c r="C75" s="74"/>
      <c r="D75" s="74"/>
    </row>
    <row r="76" spans="1:4" ht="15" customHeight="1" thickBot="1" x14ac:dyDescent="0.35">
      <c r="A76" s="74"/>
      <c r="B76" s="74"/>
      <c r="C76" s="74"/>
      <c r="D76" s="74"/>
    </row>
    <row r="77" spans="1:4" ht="15" customHeight="1" thickBot="1" x14ac:dyDescent="0.35">
      <c r="A77" s="74"/>
      <c r="B77" s="74"/>
      <c r="C77" s="74"/>
      <c r="D77" s="74"/>
    </row>
    <row r="78" spans="1:4" ht="15" customHeight="1" thickBot="1" x14ac:dyDescent="0.35">
      <c r="A78" s="74"/>
      <c r="B78" s="74"/>
      <c r="C78" s="74"/>
      <c r="D78" s="74"/>
    </row>
    <row r="79" spans="1:4" ht="15" customHeight="1" thickBot="1" x14ac:dyDescent="0.35">
      <c r="A79" s="74"/>
      <c r="B79" s="74"/>
      <c r="C79" s="74"/>
      <c r="D79" s="74"/>
    </row>
    <row r="80" spans="1:4" ht="15" customHeight="1" thickBot="1" x14ac:dyDescent="0.35">
      <c r="A80" s="74"/>
      <c r="B80" s="74"/>
      <c r="C80" s="74"/>
      <c r="D80" s="74"/>
    </row>
    <row r="81" spans="1:4" ht="15" customHeight="1" thickBot="1" x14ac:dyDescent="0.35">
      <c r="A81" s="74"/>
      <c r="B81" s="74"/>
      <c r="C81" s="74"/>
      <c r="D81" s="74"/>
    </row>
    <row r="82" spans="1:4" ht="15" customHeight="1" thickBot="1" x14ac:dyDescent="0.35">
      <c r="A82" s="74"/>
      <c r="B82" s="74"/>
      <c r="C82" s="74"/>
      <c r="D82" s="74"/>
    </row>
    <row r="83" spans="1:4" ht="15" customHeight="1" thickBot="1" x14ac:dyDescent="0.35">
      <c r="A83" s="74"/>
      <c r="B83" s="74"/>
      <c r="C83" s="74"/>
      <c r="D83" s="74"/>
    </row>
    <row r="84" spans="1:4" ht="15" customHeight="1" thickBot="1" x14ac:dyDescent="0.35">
      <c r="A84" s="74"/>
      <c r="B84" s="74"/>
      <c r="C84" s="74"/>
      <c r="D84" s="74"/>
    </row>
    <row r="85" spans="1:4" ht="15" customHeight="1" thickBot="1" x14ac:dyDescent="0.35">
      <c r="A85" s="74"/>
      <c r="B85" s="74"/>
      <c r="C85" s="74"/>
      <c r="D85" s="74"/>
    </row>
    <row r="86" spans="1:4" ht="15" customHeight="1" thickBot="1" x14ac:dyDescent="0.35">
      <c r="A86" s="74"/>
      <c r="B86" s="74"/>
      <c r="C86" s="74"/>
      <c r="D86" s="74"/>
    </row>
    <row r="87" spans="1:4" ht="15" customHeight="1" thickBot="1" x14ac:dyDescent="0.35">
      <c r="A87" s="74"/>
      <c r="B87" s="74"/>
      <c r="C87" s="74"/>
      <c r="D87" s="74"/>
    </row>
    <row r="88" spans="1:4" ht="15" customHeight="1" thickBot="1" x14ac:dyDescent="0.35">
      <c r="A88" s="74"/>
      <c r="B88" s="74"/>
      <c r="C88" s="74"/>
      <c r="D88" s="74"/>
    </row>
    <row r="89" spans="1:4" ht="15" customHeight="1" thickBot="1" x14ac:dyDescent="0.35">
      <c r="A89" s="74"/>
      <c r="B89" s="74"/>
      <c r="C89" s="74"/>
      <c r="D89" s="74"/>
    </row>
    <row r="90" spans="1:4" ht="15" customHeight="1" thickBot="1" x14ac:dyDescent="0.35">
      <c r="A90" s="74"/>
      <c r="B90" s="74"/>
      <c r="C90" s="74"/>
      <c r="D90" s="74"/>
    </row>
    <row r="91" spans="1:4" ht="15" customHeight="1" thickBot="1" x14ac:dyDescent="0.35">
      <c r="A91" s="74"/>
      <c r="B91" s="74"/>
      <c r="C91" s="74"/>
      <c r="D91" s="74"/>
    </row>
    <row r="92" spans="1:4" ht="15" customHeight="1" thickBot="1" x14ac:dyDescent="0.35">
      <c r="A92" s="74"/>
      <c r="B92" s="74"/>
      <c r="C92" s="74"/>
      <c r="D92" s="74"/>
    </row>
    <row r="93" spans="1:4" ht="15" customHeight="1" thickBot="1" x14ac:dyDescent="0.35">
      <c r="A93" s="74"/>
      <c r="B93" s="74"/>
      <c r="C93" s="74"/>
      <c r="D93" s="74"/>
    </row>
    <row r="94" spans="1:4" ht="15" customHeight="1" thickBot="1" x14ac:dyDescent="0.35">
      <c r="A94" s="74"/>
      <c r="B94" s="74"/>
      <c r="C94" s="74"/>
      <c r="D94" s="74"/>
    </row>
    <row r="95" spans="1:4" ht="15" customHeight="1" thickBot="1" x14ac:dyDescent="0.35">
      <c r="A95" s="74"/>
      <c r="B95" s="74"/>
      <c r="C95" s="74"/>
      <c r="D95" s="74"/>
    </row>
    <row r="96" spans="1:4" ht="15" customHeight="1" thickBot="1" x14ac:dyDescent="0.35">
      <c r="A96" s="74"/>
      <c r="B96" s="74"/>
      <c r="C96" s="74"/>
      <c r="D96" s="74"/>
    </row>
    <row r="97" spans="1:4" ht="15" customHeight="1" thickBot="1" x14ac:dyDescent="0.35">
      <c r="A97" s="74"/>
      <c r="B97" s="74"/>
      <c r="C97" s="74"/>
      <c r="D97" s="74"/>
    </row>
    <row r="98" spans="1:4" ht="15" customHeight="1" thickBot="1" x14ac:dyDescent="0.35">
      <c r="A98" s="74"/>
      <c r="B98" s="74"/>
      <c r="C98" s="74"/>
      <c r="D98" s="74"/>
    </row>
    <row r="99" spans="1:4" ht="15" customHeight="1" thickBot="1" x14ac:dyDescent="0.35">
      <c r="A99" s="74"/>
      <c r="B99" s="74"/>
      <c r="C99" s="74"/>
      <c r="D99" s="74"/>
    </row>
    <row r="100" spans="1:4" ht="15" customHeight="1" thickBot="1" x14ac:dyDescent="0.35">
      <c r="A100" s="74"/>
      <c r="B100" s="74"/>
      <c r="C100" s="74"/>
      <c r="D100" s="74"/>
    </row>
    <row r="101" spans="1:4" ht="15" customHeight="1" thickBot="1" x14ac:dyDescent="0.35">
      <c r="A101" s="74"/>
      <c r="B101" s="74"/>
      <c r="C101" s="74"/>
      <c r="D101" s="74"/>
    </row>
    <row r="102" spans="1:4" ht="15" customHeight="1" thickBot="1" x14ac:dyDescent="0.35">
      <c r="A102" s="74"/>
      <c r="B102" s="74"/>
      <c r="C102" s="74"/>
      <c r="D102" s="74"/>
    </row>
    <row r="103" spans="1:4" ht="15" customHeight="1" thickBot="1" x14ac:dyDescent="0.35">
      <c r="A103" s="74"/>
      <c r="B103" s="74"/>
      <c r="C103" s="74"/>
      <c r="D103" s="74"/>
    </row>
    <row r="104" spans="1:4" ht="15" customHeight="1" thickBot="1" x14ac:dyDescent="0.35">
      <c r="A104" s="74"/>
      <c r="B104" s="74"/>
      <c r="C104" s="74"/>
      <c r="D104" s="74"/>
    </row>
    <row r="105" spans="1:4" ht="15" customHeight="1" thickBot="1" x14ac:dyDescent="0.35">
      <c r="A105" s="74"/>
      <c r="B105" s="74"/>
      <c r="C105" s="74"/>
      <c r="D105" s="74"/>
    </row>
    <row r="106" spans="1:4" ht="15" customHeight="1" thickBot="1" x14ac:dyDescent="0.35">
      <c r="A106" s="74"/>
      <c r="B106" s="74"/>
      <c r="C106" s="74"/>
      <c r="D106" s="74"/>
    </row>
    <row r="107" spans="1:4" ht="15" customHeight="1" thickBot="1" x14ac:dyDescent="0.35">
      <c r="A107" s="74"/>
      <c r="B107" s="74"/>
      <c r="C107" s="74"/>
      <c r="D107" s="74"/>
    </row>
    <row r="108" spans="1:4" ht="15" customHeight="1" thickBot="1" x14ac:dyDescent="0.35">
      <c r="A108" s="74"/>
      <c r="B108" s="74"/>
      <c r="C108" s="74"/>
      <c r="D108" s="74"/>
    </row>
    <row r="109" spans="1:4" ht="15" customHeight="1" thickBot="1" x14ac:dyDescent="0.35">
      <c r="A109" s="74"/>
      <c r="B109" s="74"/>
      <c r="C109" s="74"/>
      <c r="D109" s="74"/>
    </row>
    <row r="110" spans="1:4" ht="15" customHeight="1" thickBot="1" x14ac:dyDescent="0.35">
      <c r="A110" s="74"/>
      <c r="B110" s="74"/>
      <c r="C110" s="74"/>
      <c r="D110" s="74"/>
    </row>
    <row r="111" spans="1:4" ht="15" customHeight="1" thickBot="1" x14ac:dyDescent="0.35">
      <c r="A111" s="74"/>
      <c r="B111" s="74"/>
      <c r="C111" s="74"/>
      <c r="D111" s="74"/>
    </row>
    <row r="112" spans="1:4" ht="15" customHeight="1" thickBot="1" x14ac:dyDescent="0.35">
      <c r="A112" s="74"/>
      <c r="B112" s="74"/>
      <c r="C112" s="74"/>
      <c r="D112" s="74"/>
    </row>
    <row r="113" spans="1:4" ht="15" customHeight="1" thickBot="1" x14ac:dyDescent="0.35">
      <c r="A113" s="74"/>
      <c r="B113" s="74"/>
      <c r="C113" s="74"/>
      <c r="D113" s="74"/>
    </row>
    <row r="114" spans="1:4" ht="15" customHeight="1" thickBot="1" x14ac:dyDescent="0.35">
      <c r="A114" s="74"/>
      <c r="B114" s="74"/>
      <c r="C114" s="74"/>
      <c r="D114" s="74"/>
    </row>
    <row r="115" spans="1:4" ht="15" customHeight="1" thickBot="1" x14ac:dyDescent="0.35">
      <c r="A115" s="74"/>
      <c r="B115" s="74"/>
      <c r="C115" s="74"/>
      <c r="D115" s="74"/>
    </row>
    <row r="116" spans="1:4" ht="15" customHeight="1" thickBot="1" x14ac:dyDescent="0.35">
      <c r="A116" s="74"/>
      <c r="B116" s="74"/>
      <c r="C116" s="74"/>
      <c r="D116" s="74"/>
    </row>
    <row r="117" spans="1:4" ht="15" customHeight="1" thickBot="1" x14ac:dyDescent="0.35">
      <c r="A117" s="74"/>
      <c r="B117" s="74"/>
      <c r="C117" s="74"/>
      <c r="D117" s="74"/>
    </row>
    <row r="118" spans="1:4" ht="15" customHeight="1" thickBot="1" x14ac:dyDescent="0.35">
      <c r="A118" s="74"/>
      <c r="B118" s="74"/>
      <c r="C118" s="74"/>
      <c r="D118" s="74"/>
    </row>
    <row r="119" spans="1:4" ht="15" customHeight="1" thickBot="1" x14ac:dyDescent="0.35">
      <c r="A119" s="74"/>
      <c r="B119" s="74"/>
      <c r="C119" s="74"/>
      <c r="D119" s="74"/>
    </row>
    <row r="120" spans="1:4" ht="15" customHeight="1" thickBot="1" x14ac:dyDescent="0.35">
      <c r="A120" s="74"/>
      <c r="B120" s="74"/>
      <c r="C120" s="74"/>
      <c r="D120" s="74"/>
    </row>
    <row r="121" spans="1:4" ht="15" customHeight="1" thickBot="1" x14ac:dyDescent="0.35">
      <c r="A121" s="74"/>
      <c r="B121" s="74"/>
      <c r="C121" s="74"/>
      <c r="D121" s="74"/>
    </row>
    <row r="122" spans="1:4" ht="15" customHeight="1" thickBot="1" x14ac:dyDescent="0.35">
      <c r="A122" s="74"/>
      <c r="B122" s="74"/>
      <c r="C122" s="74"/>
      <c r="D122" s="74"/>
    </row>
    <row r="123" spans="1:4" ht="15" customHeight="1" thickBot="1" x14ac:dyDescent="0.35">
      <c r="A123" s="74"/>
      <c r="B123" s="74"/>
      <c r="C123" s="74"/>
      <c r="D123" s="74"/>
    </row>
    <row r="124" spans="1:4" ht="15" customHeight="1" thickBot="1" x14ac:dyDescent="0.35">
      <c r="A124" s="74"/>
      <c r="B124" s="74"/>
      <c r="C124" s="74"/>
      <c r="D124" s="74"/>
    </row>
    <row r="125" spans="1:4" ht="15" customHeight="1" thickBot="1" x14ac:dyDescent="0.35">
      <c r="A125" s="74"/>
      <c r="B125" s="74"/>
      <c r="C125" s="74"/>
      <c r="D125" s="74"/>
    </row>
    <row r="126" spans="1:4" ht="15" customHeight="1" thickBot="1" x14ac:dyDescent="0.35">
      <c r="A126" s="74"/>
      <c r="B126" s="74"/>
      <c r="C126" s="74"/>
      <c r="D126" s="74"/>
    </row>
    <row r="127" spans="1:4" ht="15" customHeight="1" thickBot="1" x14ac:dyDescent="0.35">
      <c r="A127" s="74"/>
      <c r="B127" s="74"/>
      <c r="C127" s="74"/>
      <c r="D127" s="74"/>
    </row>
    <row r="128" spans="1:4" ht="15" customHeight="1" thickBot="1" x14ac:dyDescent="0.35">
      <c r="A128" s="74"/>
      <c r="B128" s="74"/>
      <c r="C128" s="74"/>
      <c r="D128" s="74"/>
    </row>
    <row r="129" spans="1:4" ht="15" customHeight="1" thickBot="1" x14ac:dyDescent="0.35">
      <c r="A129" s="74"/>
      <c r="B129" s="74"/>
      <c r="C129" s="74"/>
      <c r="D129" s="74"/>
    </row>
    <row r="130" spans="1:4" ht="15" customHeight="1" thickBot="1" x14ac:dyDescent="0.35">
      <c r="A130" s="74"/>
      <c r="B130" s="74"/>
      <c r="C130" s="74"/>
      <c r="D130" s="74"/>
    </row>
    <row r="131" spans="1:4" ht="15" customHeight="1" thickBot="1" x14ac:dyDescent="0.35">
      <c r="A131" s="74"/>
      <c r="B131" s="74"/>
      <c r="C131" s="74"/>
      <c r="D131" s="74"/>
    </row>
    <row r="132" spans="1:4" ht="15" customHeight="1" thickBot="1" x14ac:dyDescent="0.35">
      <c r="A132" s="74"/>
      <c r="B132" s="74"/>
      <c r="C132" s="74"/>
      <c r="D132" s="74"/>
    </row>
    <row r="133" spans="1:4" ht="15" customHeight="1" thickBot="1" x14ac:dyDescent="0.35">
      <c r="A133" s="74"/>
      <c r="B133" s="74"/>
      <c r="C133" s="74"/>
      <c r="D133" s="74"/>
    </row>
    <row r="134" spans="1:4" ht="15" customHeight="1" thickBot="1" x14ac:dyDescent="0.35">
      <c r="A134" s="74"/>
      <c r="B134" s="74"/>
      <c r="C134" s="74"/>
      <c r="D134" s="74"/>
    </row>
    <row r="135" spans="1:4" ht="15" customHeight="1" thickBot="1" x14ac:dyDescent="0.35">
      <c r="A135" s="74"/>
      <c r="B135" s="74"/>
      <c r="C135" s="74"/>
      <c r="D135" s="74"/>
    </row>
    <row r="136" spans="1:4" ht="15" customHeight="1" thickBot="1" x14ac:dyDescent="0.35">
      <c r="A136" s="74"/>
      <c r="B136" s="74"/>
      <c r="C136" s="74"/>
      <c r="D136" s="74"/>
    </row>
    <row r="137" spans="1:4" ht="15" customHeight="1" thickBot="1" x14ac:dyDescent="0.35">
      <c r="A137" s="74"/>
      <c r="B137" s="74"/>
      <c r="C137" s="74"/>
      <c r="D137" s="74"/>
    </row>
    <row r="138" spans="1:4" ht="15" customHeight="1" thickBot="1" x14ac:dyDescent="0.35">
      <c r="A138" s="74"/>
      <c r="B138" s="74"/>
      <c r="C138" s="74"/>
      <c r="D138" s="74"/>
    </row>
    <row r="139" spans="1:4" ht="15" customHeight="1" thickBot="1" x14ac:dyDescent="0.35">
      <c r="A139" s="74"/>
      <c r="B139" s="74"/>
      <c r="C139" s="74"/>
      <c r="D139" s="74"/>
    </row>
    <row r="140" spans="1:4" ht="15" customHeight="1" thickBot="1" x14ac:dyDescent="0.35">
      <c r="A140" s="74"/>
      <c r="B140" s="74"/>
      <c r="C140" s="74"/>
      <c r="D140" s="74"/>
    </row>
    <row r="141" spans="1:4" ht="15" customHeight="1" thickBot="1" x14ac:dyDescent="0.35">
      <c r="A141" s="74"/>
      <c r="B141" s="74"/>
      <c r="C141" s="74"/>
      <c r="D141" s="74"/>
    </row>
    <row r="142" spans="1:4" ht="15" customHeight="1" thickBot="1" x14ac:dyDescent="0.35">
      <c r="A142" s="74"/>
      <c r="B142" s="74"/>
      <c r="C142" s="74"/>
      <c r="D142" s="74"/>
    </row>
    <row r="143" spans="1:4" ht="15" customHeight="1" thickBot="1" x14ac:dyDescent="0.35">
      <c r="A143" s="74"/>
      <c r="B143" s="74"/>
      <c r="C143" s="74"/>
      <c r="D143" s="74"/>
    </row>
    <row r="144" spans="1:4" ht="15" customHeight="1" thickBot="1" x14ac:dyDescent="0.35">
      <c r="A144" s="74"/>
      <c r="B144" s="74"/>
      <c r="C144" s="74"/>
      <c r="D144" s="74"/>
    </row>
    <row r="145" spans="1:4" ht="15" customHeight="1" thickBot="1" x14ac:dyDescent="0.35">
      <c r="A145" s="74"/>
      <c r="B145" s="74"/>
      <c r="C145" s="74"/>
      <c r="D145" s="74"/>
    </row>
    <row r="146" spans="1:4" ht="15" customHeight="1" thickBot="1" x14ac:dyDescent="0.35">
      <c r="A146" s="74"/>
      <c r="B146" s="74"/>
      <c r="C146" s="74"/>
      <c r="D146" s="74"/>
    </row>
    <row r="147" spans="1:4" ht="15" customHeight="1" thickBot="1" x14ac:dyDescent="0.35">
      <c r="A147" s="74"/>
      <c r="B147" s="74"/>
      <c r="C147" s="74"/>
      <c r="D147" s="74"/>
    </row>
    <row r="148" spans="1:4" ht="15" customHeight="1" thickBot="1" x14ac:dyDescent="0.35">
      <c r="A148" s="74"/>
      <c r="B148" s="74"/>
      <c r="C148" s="74"/>
      <c r="D148" s="74"/>
    </row>
    <row r="149" spans="1:4" ht="15" customHeight="1" thickBot="1" x14ac:dyDescent="0.35">
      <c r="A149" s="74"/>
      <c r="B149" s="74"/>
      <c r="C149" s="74"/>
      <c r="D149" s="74"/>
    </row>
    <row r="150" spans="1:4" ht="15" customHeight="1" thickBot="1" x14ac:dyDescent="0.35">
      <c r="A150" s="74"/>
      <c r="B150" s="74"/>
      <c r="C150" s="74"/>
      <c r="D150" s="74"/>
    </row>
    <row r="151" spans="1:4" ht="15" customHeight="1" thickBot="1" x14ac:dyDescent="0.35">
      <c r="A151" s="74"/>
      <c r="B151" s="74"/>
      <c r="C151" s="74"/>
      <c r="D151" s="74"/>
    </row>
    <row r="152" spans="1:4" ht="15" customHeight="1" thickBot="1" x14ac:dyDescent="0.35">
      <c r="A152" s="74"/>
      <c r="B152" s="74"/>
      <c r="C152" s="74"/>
      <c r="D152" s="74"/>
    </row>
    <row r="153" spans="1:4" ht="15" customHeight="1" thickBot="1" x14ac:dyDescent="0.35">
      <c r="A153" s="74"/>
      <c r="B153" s="74"/>
      <c r="C153" s="74"/>
      <c r="D153" s="74"/>
    </row>
    <row r="154" spans="1:4" ht="15" customHeight="1" thickBot="1" x14ac:dyDescent="0.35">
      <c r="A154" s="74"/>
      <c r="B154" s="74"/>
      <c r="C154" s="74"/>
      <c r="D154" s="74"/>
    </row>
    <row r="155" spans="1:4" ht="15" customHeight="1" thickBot="1" x14ac:dyDescent="0.35">
      <c r="A155" s="74"/>
      <c r="B155" s="74"/>
      <c r="C155" s="74"/>
      <c r="D155" s="74"/>
    </row>
    <row r="156" spans="1:4" ht="15" customHeight="1" thickBot="1" x14ac:dyDescent="0.35">
      <c r="A156" s="74"/>
      <c r="B156" s="74"/>
      <c r="C156" s="74"/>
      <c r="D156" s="74"/>
    </row>
    <row r="157" spans="1:4" ht="15" customHeight="1" thickBot="1" x14ac:dyDescent="0.35">
      <c r="A157" s="74"/>
      <c r="B157" s="74"/>
      <c r="C157" s="74"/>
      <c r="D157" s="74"/>
    </row>
    <row r="158" spans="1:4" ht="15" customHeight="1" thickBot="1" x14ac:dyDescent="0.35">
      <c r="A158" s="74"/>
      <c r="B158" s="74"/>
      <c r="C158" s="74"/>
      <c r="D158" s="74"/>
    </row>
    <row r="159" spans="1:4" ht="15" customHeight="1" thickBot="1" x14ac:dyDescent="0.35">
      <c r="A159" s="74"/>
      <c r="B159" s="74"/>
      <c r="C159" s="74"/>
      <c r="D159" s="74"/>
    </row>
    <row r="160" spans="1:4" ht="15" customHeight="1" thickBot="1" x14ac:dyDescent="0.35">
      <c r="A160" s="74"/>
      <c r="B160" s="74"/>
      <c r="C160" s="74"/>
      <c r="D160" s="74"/>
    </row>
    <row r="161" spans="1:4" ht="15" customHeight="1" thickBot="1" x14ac:dyDescent="0.35">
      <c r="A161" s="74"/>
      <c r="B161" s="74"/>
      <c r="C161" s="74"/>
      <c r="D161" s="74"/>
    </row>
    <row r="162" spans="1:4" ht="15" customHeight="1" thickBot="1" x14ac:dyDescent="0.35">
      <c r="A162" s="74"/>
      <c r="B162" s="74"/>
      <c r="C162" s="74"/>
      <c r="D162" s="74"/>
    </row>
    <row r="163" spans="1:4" ht="15" customHeight="1" thickBot="1" x14ac:dyDescent="0.35">
      <c r="A163" s="74"/>
      <c r="B163" s="74"/>
      <c r="C163" s="74"/>
      <c r="D163" s="74"/>
    </row>
    <row r="164" spans="1:4" ht="15" customHeight="1" thickBot="1" x14ac:dyDescent="0.35">
      <c r="A164" s="74"/>
      <c r="B164" s="74"/>
      <c r="C164" s="74"/>
      <c r="D164" s="74"/>
    </row>
    <row r="165" spans="1:4" ht="15" customHeight="1" thickBot="1" x14ac:dyDescent="0.35">
      <c r="A165" s="74"/>
      <c r="B165" s="74"/>
      <c r="C165" s="74"/>
      <c r="D165" s="74"/>
    </row>
    <row r="166" spans="1:4" ht="15" customHeight="1" thickBot="1" x14ac:dyDescent="0.35">
      <c r="A166" s="74"/>
      <c r="B166" s="74"/>
      <c r="C166" s="74"/>
      <c r="D166" s="74"/>
    </row>
    <row r="167" spans="1:4" ht="15" customHeight="1" thickBot="1" x14ac:dyDescent="0.35">
      <c r="A167" s="74"/>
      <c r="B167" s="74"/>
      <c r="C167" s="74"/>
      <c r="D167" s="74"/>
    </row>
    <row r="168" spans="1:4" ht="15" customHeight="1" thickBot="1" x14ac:dyDescent="0.35">
      <c r="A168" s="74"/>
      <c r="B168" s="74"/>
      <c r="C168" s="74"/>
      <c r="D168" s="74"/>
    </row>
    <row r="169" spans="1:4" ht="15" customHeight="1" thickBot="1" x14ac:dyDescent="0.35">
      <c r="A169" s="74"/>
      <c r="B169" s="74"/>
      <c r="C169" s="74"/>
      <c r="D169" s="74"/>
    </row>
    <row r="170" spans="1:4" ht="15" customHeight="1" thickBot="1" x14ac:dyDescent="0.35">
      <c r="A170" s="74"/>
      <c r="B170" s="74"/>
      <c r="C170" s="74"/>
      <c r="D170" s="74"/>
    </row>
    <row r="171" spans="1:4" ht="15" customHeight="1" thickBot="1" x14ac:dyDescent="0.35">
      <c r="A171" s="74"/>
      <c r="B171" s="74"/>
      <c r="C171" s="74"/>
      <c r="D171" s="74"/>
    </row>
    <row r="172" spans="1:4" ht="15" customHeight="1" thickBot="1" x14ac:dyDescent="0.35">
      <c r="A172" s="74"/>
      <c r="B172" s="74"/>
      <c r="C172" s="74"/>
      <c r="D172" s="74"/>
    </row>
    <row r="173" spans="1:4" ht="15" customHeight="1" thickBot="1" x14ac:dyDescent="0.35">
      <c r="A173" s="74"/>
      <c r="B173" s="74"/>
      <c r="C173" s="74"/>
      <c r="D173" s="74"/>
    </row>
    <row r="174" spans="1:4" ht="15" customHeight="1" thickBot="1" x14ac:dyDescent="0.35">
      <c r="A174" s="74"/>
      <c r="B174" s="74"/>
      <c r="C174" s="74"/>
      <c r="D174" s="74"/>
    </row>
    <row r="175" spans="1:4" ht="15" customHeight="1" thickBot="1" x14ac:dyDescent="0.35">
      <c r="A175" s="74"/>
      <c r="B175" s="74"/>
      <c r="C175" s="74"/>
      <c r="D175" s="74"/>
    </row>
    <row r="176" spans="1:4" ht="15" customHeight="1" thickBot="1" x14ac:dyDescent="0.35">
      <c r="A176" s="74"/>
      <c r="B176" s="74"/>
      <c r="C176" s="74"/>
      <c r="D176" s="74"/>
    </row>
    <row r="177" spans="1:4" ht="15" customHeight="1" thickBot="1" x14ac:dyDescent="0.35">
      <c r="A177" s="74"/>
      <c r="B177" s="74"/>
      <c r="C177" s="74"/>
      <c r="D177" s="74"/>
    </row>
    <row r="178" spans="1:4" ht="15" customHeight="1" thickBot="1" x14ac:dyDescent="0.35">
      <c r="A178" s="74"/>
      <c r="B178" s="74"/>
      <c r="C178" s="74"/>
      <c r="D178" s="74"/>
    </row>
    <row r="179" spans="1:4" ht="15" customHeight="1" thickBot="1" x14ac:dyDescent="0.35">
      <c r="A179" s="74"/>
      <c r="B179" s="74"/>
      <c r="C179" s="74"/>
      <c r="D179" s="74"/>
    </row>
    <row r="180" spans="1:4" ht="15" customHeight="1" thickBot="1" x14ac:dyDescent="0.35">
      <c r="A180" s="74"/>
      <c r="B180" s="74"/>
      <c r="C180" s="74"/>
      <c r="D180" s="74"/>
    </row>
    <row r="181" spans="1:4" ht="15" customHeight="1" thickBot="1" x14ac:dyDescent="0.35">
      <c r="A181" s="74"/>
      <c r="B181" s="74"/>
      <c r="C181" s="74"/>
      <c r="D181" s="74"/>
    </row>
    <row r="182" spans="1:4" ht="15" customHeight="1" thickBot="1" x14ac:dyDescent="0.35">
      <c r="A182" s="74"/>
      <c r="B182" s="74"/>
      <c r="C182" s="74"/>
      <c r="D182" s="74"/>
    </row>
    <row r="183" spans="1:4" ht="15" customHeight="1" thickBot="1" x14ac:dyDescent="0.35">
      <c r="A183" s="74"/>
      <c r="B183" s="74"/>
      <c r="C183" s="74"/>
      <c r="D183" s="74"/>
    </row>
    <row r="184" spans="1:4" ht="15" customHeight="1" thickBot="1" x14ac:dyDescent="0.35">
      <c r="A184" s="74"/>
      <c r="B184" s="74"/>
      <c r="C184" s="74"/>
      <c r="D184" s="74"/>
    </row>
    <row r="185" spans="1:4" ht="15" customHeight="1" thickBot="1" x14ac:dyDescent="0.35">
      <c r="A185" s="74"/>
      <c r="B185" s="74"/>
      <c r="C185" s="74"/>
      <c r="D185" s="74"/>
    </row>
    <row r="186" spans="1:4" ht="15" customHeight="1" thickBot="1" x14ac:dyDescent="0.35">
      <c r="A186" s="74"/>
      <c r="B186" s="74"/>
      <c r="C186" s="74"/>
      <c r="D186" s="74"/>
    </row>
    <row r="187" spans="1:4" ht="15" customHeight="1" thickBot="1" x14ac:dyDescent="0.35">
      <c r="A187" s="74"/>
      <c r="B187" s="74"/>
      <c r="C187" s="74"/>
      <c r="D187" s="74"/>
    </row>
    <row r="188" spans="1:4" ht="15" customHeight="1" thickBot="1" x14ac:dyDescent="0.35">
      <c r="A188" s="74"/>
      <c r="B188" s="74"/>
      <c r="C188" s="74"/>
      <c r="D188" s="74"/>
    </row>
    <row r="189" spans="1:4" ht="15" customHeight="1" thickBot="1" x14ac:dyDescent="0.35">
      <c r="A189" s="74"/>
      <c r="B189" s="74"/>
      <c r="C189" s="74"/>
      <c r="D189" s="74"/>
    </row>
    <row r="190" spans="1:4" ht="15" customHeight="1" thickBot="1" x14ac:dyDescent="0.35">
      <c r="A190" s="74"/>
      <c r="B190" s="74"/>
      <c r="C190" s="74"/>
      <c r="D190" s="74"/>
    </row>
    <row r="191" spans="1:4" ht="15" customHeight="1" thickBot="1" x14ac:dyDescent="0.35">
      <c r="A191" s="74"/>
      <c r="B191" s="74"/>
      <c r="C191" s="74"/>
      <c r="D191" s="74"/>
    </row>
    <row r="192" spans="1:4" ht="15" customHeight="1" thickBot="1" x14ac:dyDescent="0.35">
      <c r="A192" s="74"/>
      <c r="B192" s="74"/>
      <c r="C192" s="74"/>
      <c r="D192" s="74"/>
    </row>
    <row r="193" spans="1:4" ht="15" customHeight="1" thickBot="1" x14ac:dyDescent="0.35">
      <c r="A193" s="74"/>
      <c r="B193" s="74"/>
      <c r="C193" s="74"/>
      <c r="D193" s="74"/>
    </row>
    <row r="194" spans="1:4" ht="15" customHeight="1" thickBot="1" x14ac:dyDescent="0.35">
      <c r="A194" s="74"/>
      <c r="B194" s="74"/>
      <c r="C194" s="74"/>
      <c r="D194" s="74"/>
    </row>
    <row r="195" spans="1:4" ht="15" customHeight="1" thickBot="1" x14ac:dyDescent="0.35">
      <c r="A195" s="74"/>
      <c r="B195" s="74"/>
      <c r="C195" s="74"/>
      <c r="D195" s="74"/>
    </row>
    <row r="196" spans="1:4" ht="15" customHeight="1" thickBot="1" x14ac:dyDescent="0.35">
      <c r="A196" s="74"/>
      <c r="B196" s="74"/>
      <c r="C196" s="74"/>
      <c r="D196" s="74"/>
    </row>
    <row r="197" spans="1:4" ht="15" customHeight="1" thickBot="1" x14ac:dyDescent="0.35">
      <c r="A197" s="74"/>
      <c r="B197" s="74"/>
      <c r="C197" s="74"/>
      <c r="D197" s="74"/>
    </row>
    <row r="198" spans="1:4" ht="15" customHeight="1" thickBot="1" x14ac:dyDescent="0.35">
      <c r="A198" s="74"/>
      <c r="B198" s="74"/>
      <c r="C198" s="74"/>
      <c r="D198" s="74"/>
    </row>
    <row r="199" spans="1:4" ht="15" customHeight="1" thickBot="1" x14ac:dyDescent="0.35">
      <c r="A199" s="74"/>
      <c r="B199" s="74"/>
      <c r="C199" s="74"/>
      <c r="D199" s="74"/>
    </row>
    <row r="200" spans="1:4" ht="15" customHeight="1" thickBot="1" x14ac:dyDescent="0.35">
      <c r="A200" s="74"/>
      <c r="B200" s="74"/>
      <c r="C200" s="74"/>
      <c r="D200" s="74"/>
    </row>
    <row r="201" spans="1:4" ht="15" customHeight="1" thickBot="1" x14ac:dyDescent="0.35">
      <c r="A201" s="74"/>
      <c r="B201" s="74"/>
      <c r="C201" s="74"/>
      <c r="D201" s="74"/>
    </row>
    <row r="202" spans="1:4" ht="15" customHeight="1" thickBot="1" x14ac:dyDescent="0.35">
      <c r="A202" s="74"/>
      <c r="B202" s="74"/>
      <c r="C202" s="74"/>
      <c r="D202" s="74"/>
    </row>
    <row r="203" spans="1:4" ht="15" customHeight="1" thickBot="1" x14ac:dyDescent="0.35">
      <c r="A203" s="74"/>
      <c r="B203" s="74"/>
      <c r="C203" s="74"/>
      <c r="D203" s="74"/>
    </row>
    <row r="204" spans="1:4" ht="15" customHeight="1" thickBot="1" x14ac:dyDescent="0.35">
      <c r="A204" s="74"/>
      <c r="B204" s="74"/>
      <c r="C204" s="74"/>
      <c r="D204" s="74"/>
    </row>
    <row r="205" spans="1:4" ht="15" customHeight="1" thickBot="1" x14ac:dyDescent="0.35">
      <c r="A205" s="74"/>
      <c r="B205" s="74"/>
      <c r="C205" s="74"/>
      <c r="D205" s="74"/>
    </row>
    <row r="206" spans="1:4" ht="15" customHeight="1" thickBot="1" x14ac:dyDescent="0.35">
      <c r="A206" s="74"/>
      <c r="B206" s="74"/>
      <c r="C206" s="74"/>
      <c r="D206" s="74"/>
    </row>
    <row r="207" spans="1:4" ht="15" customHeight="1" thickBot="1" x14ac:dyDescent="0.35">
      <c r="A207" s="74"/>
      <c r="B207" s="74"/>
      <c r="C207" s="74"/>
      <c r="D207" s="74"/>
    </row>
    <row r="208" spans="1:4" ht="15" customHeight="1" thickBot="1" x14ac:dyDescent="0.35">
      <c r="A208" s="74"/>
      <c r="B208" s="74"/>
      <c r="C208" s="74"/>
      <c r="D208" s="74"/>
    </row>
    <row r="209" spans="1:4" ht="15" customHeight="1" thickBot="1" x14ac:dyDescent="0.35">
      <c r="A209" s="74"/>
      <c r="B209" s="74"/>
      <c r="C209" s="74"/>
      <c r="D209" s="74"/>
    </row>
    <row r="210" spans="1:4" ht="15" customHeight="1" thickBot="1" x14ac:dyDescent="0.35">
      <c r="A210" s="74"/>
      <c r="B210" s="74"/>
      <c r="C210" s="74"/>
      <c r="D210" s="74"/>
    </row>
    <row r="211" spans="1:4" ht="15" customHeight="1" thickBot="1" x14ac:dyDescent="0.35">
      <c r="A211" s="74"/>
      <c r="B211" s="74"/>
      <c r="C211" s="74"/>
      <c r="D211" s="74"/>
    </row>
    <row r="212" spans="1:4" ht="15" customHeight="1" thickBot="1" x14ac:dyDescent="0.35">
      <c r="A212" s="74"/>
      <c r="B212" s="74"/>
      <c r="C212" s="74"/>
      <c r="D212" s="74"/>
    </row>
    <row r="213" spans="1:4" ht="15" customHeight="1" thickBot="1" x14ac:dyDescent="0.35">
      <c r="A213" s="74"/>
      <c r="B213" s="74"/>
      <c r="C213" s="74"/>
      <c r="D213" s="74"/>
    </row>
    <row r="214" spans="1:4" ht="15" customHeight="1" thickBot="1" x14ac:dyDescent="0.35">
      <c r="A214" s="74"/>
      <c r="B214" s="74"/>
      <c r="C214" s="74"/>
      <c r="D214" s="74"/>
    </row>
    <row r="215" spans="1:4" ht="15" customHeight="1" thickBot="1" x14ac:dyDescent="0.35">
      <c r="A215" s="74"/>
      <c r="B215" s="74"/>
      <c r="C215" s="74"/>
      <c r="D215" s="74"/>
    </row>
    <row r="216" spans="1:4" ht="15" customHeight="1" thickBot="1" x14ac:dyDescent="0.35">
      <c r="A216" s="74"/>
      <c r="B216" s="74"/>
      <c r="C216" s="74"/>
      <c r="D216" s="74"/>
    </row>
    <row r="217" spans="1:4" ht="15" customHeight="1" thickBot="1" x14ac:dyDescent="0.35">
      <c r="A217" s="74"/>
      <c r="B217" s="74"/>
      <c r="C217" s="74"/>
      <c r="D217" s="74"/>
    </row>
    <row r="218" spans="1:4" ht="15" customHeight="1" thickBot="1" x14ac:dyDescent="0.35">
      <c r="A218" s="74"/>
      <c r="B218" s="74"/>
      <c r="C218" s="74"/>
      <c r="D218" s="74"/>
    </row>
    <row r="219" spans="1:4" ht="15" customHeight="1" thickBot="1" x14ac:dyDescent="0.35">
      <c r="A219" s="74"/>
      <c r="B219" s="74"/>
      <c r="C219" s="74"/>
      <c r="D219" s="74"/>
    </row>
    <row r="220" spans="1:4" ht="15" customHeight="1" thickBot="1" x14ac:dyDescent="0.35">
      <c r="A220" s="74"/>
      <c r="B220" s="74"/>
      <c r="C220" s="74"/>
      <c r="D220" s="74"/>
    </row>
    <row r="221" spans="1:4" ht="15" customHeight="1" thickBot="1" x14ac:dyDescent="0.35">
      <c r="A221" s="74"/>
      <c r="B221" s="74"/>
      <c r="C221" s="74"/>
      <c r="D221" s="74"/>
    </row>
    <row r="222" spans="1:4" ht="15" customHeight="1" thickBot="1" x14ac:dyDescent="0.35">
      <c r="A222" s="74"/>
      <c r="B222" s="74"/>
      <c r="C222" s="74"/>
      <c r="D222" s="74"/>
    </row>
    <row r="223" spans="1:4" ht="15" customHeight="1" thickBot="1" x14ac:dyDescent="0.35">
      <c r="A223" s="74"/>
      <c r="B223" s="74"/>
      <c r="C223" s="74"/>
      <c r="D223" s="74"/>
    </row>
    <row r="224" spans="1:4" ht="15" customHeight="1" thickBot="1" x14ac:dyDescent="0.35">
      <c r="A224" s="74"/>
      <c r="B224" s="74"/>
      <c r="C224" s="74"/>
      <c r="D224" s="74"/>
    </row>
    <row r="225" spans="1:4" ht="15" customHeight="1" thickBot="1" x14ac:dyDescent="0.35">
      <c r="A225" s="74"/>
      <c r="B225" s="74"/>
      <c r="C225" s="74"/>
      <c r="D225" s="74"/>
    </row>
    <row r="226" spans="1:4" ht="15" customHeight="1" thickBot="1" x14ac:dyDescent="0.35">
      <c r="A226" s="74"/>
      <c r="B226" s="74"/>
      <c r="C226" s="74"/>
      <c r="D226" s="74"/>
    </row>
    <row r="227" spans="1:4" ht="15" customHeight="1" thickBot="1" x14ac:dyDescent="0.35">
      <c r="A227" s="74"/>
      <c r="B227" s="74"/>
      <c r="C227" s="74"/>
      <c r="D227" s="74"/>
    </row>
    <row r="228" spans="1:4" ht="15" customHeight="1" thickBot="1" x14ac:dyDescent="0.35">
      <c r="A228" s="74"/>
      <c r="B228" s="74"/>
      <c r="C228" s="74"/>
      <c r="D228" s="74"/>
    </row>
    <row r="229" spans="1:4" ht="15" customHeight="1" thickBot="1" x14ac:dyDescent="0.35">
      <c r="A229" s="74"/>
      <c r="B229" s="74"/>
      <c r="C229" s="74"/>
      <c r="D229" s="74"/>
    </row>
    <row r="230" spans="1:4" ht="15" customHeight="1" thickBot="1" x14ac:dyDescent="0.35">
      <c r="A230" s="74"/>
      <c r="B230" s="74"/>
      <c r="C230" s="74"/>
      <c r="D230" s="74"/>
    </row>
    <row r="231" spans="1:4" ht="15" customHeight="1" thickBot="1" x14ac:dyDescent="0.35">
      <c r="A231" s="74"/>
      <c r="B231" s="74"/>
      <c r="C231" s="74"/>
      <c r="D231" s="74"/>
    </row>
    <row r="232" spans="1:4" ht="15" customHeight="1" thickBot="1" x14ac:dyDescent="0.35">
      <c r="A232" s="74"/>
      <c r="B232" s="74"/>
      <c r="C232" s="74"/>
      <c r="D232" s="74"/>
    </row>
    <row r="233" spans="1:4" ht="15" customHeight="1" thickBot="1" x14ac:dyDescent="0.35">
      <c r="A233" s="74"/>
      <c r="B233" s="74"/>
      <c r="C233" s="74"/>
      <c r="D233" s="74"/>
    </row>
    <row r="234" spans="1:4" ht="15" customHeight="1" thickBot="1" x14ac:dyDescent="0.35">
      <c r="A234" s="74"/>
      <c r="B234" s="74"/>
      <c r="C234" s="74"/>
      <c r="D234" s="74"/>
    </row>
    <row r="235" spans="1:4" ht="15" customHeight="1" thickBot="1" x14ac:dyDescent="0.35">
      <c r="A235" s="74"/>
      <c r="B235" s="74"/>
      <c r="C235" s="74"/>
      <c r="D235" s="74"/>
    </row>
    <row r="236" spans="1:4" ht="15" customHeight="1" thickBot="1" x14ac:dyDescent="0.35">
      <c r="A236" s="74"/>
      <c r="B236" s="74"/>
      <c r="C236" s="74"/>
      <c r="D236" s="74"/>
    </row>
    <row r="237" spans="1:4" ht="15" customHeight="1" thickBot="1" x14ac:dyDescent="0.35">
      <c r="A237" s="74"/>
      <c r="B237" s="74"/>
      <c r="C237" s="74"/>
      <c r="D237" s="74"/>
    </row>
    <row r="238" spans="1:4" ht="15" customHeight="1" thickBot="1" x14ac:dyDescent="0.35">
      <c r="A238" s="74"/>
      <c r="B238" s="74"/>
      <c r="C238" s="74"/>
      <c r="D238" s="74"/>
    </row>
    <row r="239" spans="1:4" ht="15" customHeight="1" thickBot="1" x14ac:dyDescent="0.35">
      <c r="A239" s="74"/>
      <c r="B239" s="74"/>
      <c r="C239" s="74"/>
      <c r="D239" s="74"/>
    </row>
    <row r="240" spans="1:4" ht="15" customHeight="1" thickBot="1" x14ac:dyDescent="0.35">
      <c r="A240" s="74"/>
      <c r="B240" s="74"/>
      <c r="C240" s="74"/>
      <c r="D240" s="74"/>
    </row>
    <row r="241" spans="1:4" ht="15" customHeight="1" thickBot="1" x14ac:dyDescent="0.35">
      <c r="A241" s="74"/>
      <c r="B241" s="74"/>
      <c r="C241" s="74"/>
      <c r="D241" s="74"/>
    </row>
    <row r="242" spans="1:4" ht="15" customHeight="1" thickBot="1" x14ac:dyDescent="0.35">
      <c r="A242" s="74"/>
      <c r="B242" s="74"/>
      <c r="C242" s="74"/>
      <c r="D242" s="74"/>
    </row>
    <row r="243" spans="1:4" ht="15" customHeight="1" thickBot="1" x14ac:dyDescent="0.35">
      <c r="A243" s="74"/>
      <c r="B243" s="74"/>
      <c r="C243" s="74"/>
      <c r="D243" s="74"/>
    </row>
    <row r="244" spans="1:4" ht="15" customHeight="1" thickBot="1" x14ac:dyDescent="0.35">
      <c r="A244" s="74"/>
      <c r="B244" s="74"/>
      <c r="C244" s="74"/>
      <c r="D244" s="74"/>
    </row>
    <row r="245" spans="1:4" ht="15" customHeight="1" thickBot="1" x14ac:dyDescent="0.35">
      <c r="A245" s="74"/>
      <c r="B245" s="74"/>
      <c r="C245" s="74"/>
      <c r="D245" s="74"/>
    </row>
    <row r="246" spans="1:4" ht="15" customHeight="1" thickBot="1" x14ac:dyDescent="0.35">
      <c r="A246" s="74"/>
      <c r="B246" s="74"/>
      <c r="C246" s="74"/>
      <c r="D246" s="74"/>
    </row>
    <row r="247" spans="1:4" ht="15" customHeight="1" thickBot="1" x14ac:dyDescent="0.35">
      <c r="A247" s="74"/>
      <c r="B247" s="74"/>
      <c r="C247" s="74"/>
      <c r="D247" s="74"/>
    </row>
    <row r="248" spans="1:4" ht="15" customHeight="1" thickBot="1" x14ac:dyDescent="0.35">
      <c r="A248" s="74"/>
      <c r="B248" s="74"/>
      <c r="C248" s="74"/>
      <c r="D248" s="74"/>
    </row>
    <row r="249" spans="1:4" ht="15" customHeight="1" thickBot="1" x14ac:dyDescent="0.35">
      <c r="A249" s="74"/>
      <c r="B249" s="74"/>
      <c r="C249" s="74"/>
      <c r="D249" s="74"/>
    </row>
    <row r="250" spans="1:4" ht="15" customHeight="1" thickBot="1" x14ac:dyDescent="0.35">
      <c r="A250" s="74"/>
      <c r="B250" s="74"/>
      <c r="C250" s="74"/>
      <c r="D250" s="74"/>
    </row>
    <row r="251" spans="1:4" ht="15" customHeight="1" thickBot="1" x14ac:dyDescent="0.35">
      <c r="A251" s="74"/>
      <c r="B251" s="74"/>
      <c r="C251" s="74"/>
      <c r="D251" s="74"/>
    </row>
    <row r="252" spans="1:4" ht="15" customHeight="1" thickBot="1" x14ac:dyDescent="0.35">
      <c r="A252" s="74"/>
      <c r="B252" s="74"/>
      <c r="C252" s="74"/>
      <c r="D252" s="74"/>
    </row>
    <row r="253" spans="1:4" ht="15" customHeight="1" thickBot="1" x14ac:dyDescent="0.35">
      <c r="A253" s="74"/>
      <c r="B253" s="74"/>
      <c r="C253" s="74"/>
      <c r="D253" s="74"/>
    </row>
    <row r="254" spans="1:4" ht="15" customHeight="1" thickBot="1" x14ac:dyDescent="0.35">
      <c r="A254" s="74"/>
      <c r="B254" s="74"/>
      <c r="C254" s="74"/>
      <c r="D254" s="74"/>
    </row>
    <row r="255" spans="1:4" ht="15" customHeight="1" thickBot="1" x14ac:dyDescent="0.35">
      <c r="A255" s="74"/>
      <c r="B255" s="74"/>
      <c r="C255" s="74"/>
      <c r="D255" s="74"/>
    </row>
    <row r="256" spans="1:4" ht="15" customHeight="1" thickBot="1" x14ac:dyDescent="0.35">
      <c r="A256" s="74"/>
      <c r="B256" s="74"/>
      <c r="C256" s="74"/>
      <c r="D256" s="74"/>
    </row>
    <row r="257" spans="1:4" ht="15" customHeight="1" thickBot="1" x14ac:dyDescent="0.35">
      <c r="A257" s="74"/>
      <c r="B257" s="74"/>
      <c r="C257" s="74"/>
      <c r="D257" s="74"/>
    </row>
    <row r="258" spans="1:4" ht="15" customHeight="1" thickBot="1" x14ac:dyDescent="0.35">
      <c r="A258" s="74"/>
      <c r="B258" s="74"/>
      <c r="C258" s="74"/>
      <c r="D258" s="74"/>
    </row>
    <row r="259" spans="1:4" ht="15" customHeight="1" thickBot="1" x14ac:dyDescent="0.35">
      <c r="A259" s="74"/>
      <c r="B259" s="74"/>
      <c r="C259" s="74"/>
      <c r="D259" s="74"/>
    </row>
    <row r="260" spans="1:4" ht="15" customHeight="1" thickBot="1" x14ac:dyDescent="0.35">
      <c r="A260" s="74"/>
      <c r="B260" s="74"/>
      <c r="C260" s="74"/>
      <c r="D260" s="74"/>
    </row>
    <row r="261" spans="1:4" ht="15" customHeight="1" thickBot="1" x14ac:dyDescent="0.35">
      <c r="A261" s="74"/>
      <c r="B261" s="74"/>
      <c r="C261" s="74"/>
      <c r="D261" s="74"/>
    </row>
    <row r="262" spans="1:4" ht="15" customHeight="1" thickBot="1" x14ac:dyDescent="0.35">
      <c r="A262" s="74"/>
      <c r="B262" s="74"/>
      <c r="C262" s="74"/>
      <c r="D262" s="74"/>
    </row>
    <row r="263" spans="1:4" ht="15" customHeight="1" thickBot="1" x14ac:dyDescent="0.35">
      <c r="A263" s="74"/>
      <c r="B263" s="74"/>
      <c r="C263" s="74"/>
      <c r="D263" s="74"/>
    </row>
    <row r="264" spans="1:4" ht="15" customHeight="1" thickBot="1" x14ac:dyDescent="0.35">
      <c r="A264" s="74"/>
      <c r="B264" s="74"/>
      <c r="C264" s="74"/>
      <c r="D264" s="74"/>
    </row>
    <row r="265" spans="1:4" ht="15" customHeight="1" thickBot="1" x14ac:dyDescent="0.35">
      <c r="A265" s="74"/>
      <c r="B265" s="74"/>
      <c r="C265" s="74"/>
      <c r="D265" s="74"/>
    </row>
    <row r="266" spans="1:4" ht="15" customHeight="1" thickBot="1" x14ac:dyDescent="0.35">
      <c r="A266" s="74"/>
      <c r="B266" s="74"/>
      <c r="C266" s="74"/>
      <c r="D266" s="74"/>
    </row>
    <row r="267" spans="1:4" ht="15" customHeight="1" thickBot="1" x14ac:dyDescent="0.35">
      <c r="A267" s="74"/>
      <c r="B267" s="74"/>
      <c r="C267" s="74"/>
      <c r="D267" s="74"/>
    </row>
    <row r="268" spans="1:4" ht="15" customHeight="1" thickBot="1" x14ac:dyDescent="0.35">
      <c r="A268" s="74"/>
      <c r="B268" s="74"/>
      <c r="C268" s="74"/>
      <c r="D268" s="74"/>
    </row>
    <row r="269" spans="1:4" ht="15" customHeight="1" thickBot="1" x14ac:dyDescent="0.35">
      <c r="A269" s="74"/>
      <c r="B269" s="74"/>
      <c r="C269" s="74"/>
      <c r="D269" s="74"/>
    </row>
    <row r="270" spans="1:4" ht="15" customHeight="1" thickBot="1" x14ac:dyDescent="0.35">
      <c r="A270" s="74"/>
      <c r="B270" s="74"/>
      <c r="C270" s="74"/>
      <c r="D270" s="74"/>
    </row>
    <row r="271" spans="1:4" ht="15" customHeight="1" thickBot="1" x14ac:dyDescent="0.35">
      <c r="A271" s="74"/>
      <c r="B271" s="74"/>
      <c r="C271" s="74"/>
      <c r="D271" s="74"/>
    </row>
    <row r="272" spans="1:4" ht="15" customHeight="1" thickBot="1" x14ac:dyDescent="0.35">
      <c r="A272" s="74"/>
      <c r="B272" s="74"/>
      <c r="C272" s="74"/>
      <c r="D272" s="74"/>
    </row>
    <row r="273" spans="1:4" ht="15" customHeight="1" thickBot="1" x14ac:dyDescent="0.35">
      <c r="A273" s="74"/>
      <c r="B273" s="74"/>
      <c r="C273" s="74"/>
      <c r="D273" s="74"/>
    </row>
    <row r="274" spans="1:4" ht="15" customHeight="1" thickBot="1" x14ac:dyDescent="0.35">
      <c r="A274" s="74"/>
      <c r="B274" s="74"/>
      <c r="C274" s="74"/>
      <c r="D274" s="74"/>
    </row>
    <row r="275" spans="1:4" ht="15" customHeight="1" thickBot="1" x14ac:dyDescent="0.35">
      <c r="A275" s="74"/>
      <c r="B275" s="74"/>
      <c r="C275" s="74"/>
      <c r="D275" s="74"/>
    </row>
    <row r="276" spans="1:4" ht="15" customHeight="1" thickBot="1" x14ac:dyDescent="0.35">
      <c r="A276" s="74"/>
      <c r="B276" s="74"/>
      <c r="C276" s="74"/>
      <c r="D276" s="74"/>
    </row>
    <row r="277" spans="1:4" ht="15" customHeight="1" thickBot="1" x14ac:dyDescent="0.35">
      <c r="A277" s="74"/>
      <c r="B277" s="74"/>
      <c r="C277" s="74"/>
      <c r="D277" s="74"/>
    </row>
    <row r="278" spans="1:4" ht="15" customHeight="1" thickBot="1" x14ac:dyDescent="0.35">
      <c r="A278" s="74"/>
      <c r="B278" s="74"/>
      <c r="C278" s="74"/>
      <c r="D278" s="74"/>
    </row>
    <row r="279" spans="1:4" ht="15" customHeight="1" thickBot="1" x14ac:dyDescent="0.35">
      <c r="A279" s="74"/>
      <c r="B279" s="74"/>
      <c r="C279" s="74"/>
      <c r="D279" s="74"/>
    </row>
    <row r="280" spans="1:4" ht="15" customHeight="1" thickBot="1" x14ac:dyDescent="0.35">
      <c r="A280" s="74"/>
      <c r="B280" s="74"/>
      <c r="C280" s="74"/>
      <c r="D280" s="74"/>
    </row>
    <row r="281" spans="1:4" ht="15" customHeight="1" thickBot="1" x14ac:dyDescent="0.35">
      <c r="A281" s="74"/>
      <c r="B281" s="74"/>
      <c r="C281" s="74"/>
      <c r="D281" s="74"/>
    </row>
    <row r="282" spans="1:4" ht="15" customHeight="1" thickBot="1" x14ac:dyDescent="0.35">
      <c r="A282" s="74"/>
      <c r="B282" s="74"/>
      <c r="C282" s="74"/>
      <c r="D282" s="74"/>
    </row>
    <row r="283" spans="1:4" ht="15" customHeight="1" thickBot="1" x14ac:dyDescent="0.35">
      <c r="A283" s="74"/>
      <c r="B283" s="74"/>
      <c r="C283" s="74"/>
      <c r="D283" s="74"/>
    </row>
    <row r="284" spans="1:4" ht="15" customHeight="1" thickBot="1" x14ac:dyDescent="0.35">
      <c r="A284" s="74"/>
      <c r="B284" s="74"/>
      <c r="C284" s="74"/>
      <c r="D284" s="74"/>
    </row>
    <row r="285" spans="1:4" ht="15" customHeight="1" thickBot="1" x14ac:dyDescent="0.35">
      <c r="A285" s="74"/>
      <c r="B285" s="74"/>
      <c r="C285" s="74"/>
      <c r="D285" s="74"/>
    </row>
    <row r="286" spans="1:4" ht="15" customHeight="1" thickBot="1" x14ac:dyDescent="0.35">
      <c r="A286" s="74"/>
      <c r="B286" s="74"/>
      <c r="C286" s="74"/>
      <c r="D286" s="74"/>
    </row>
    <row r="287" spans="1:4" ht="15" customHeight="1" thickBot="1" x14ac:dyDescent="0.35">
      <c r="A287" s="74"/>
      <c r="B287" s="74"/>
      <c r="C287" s="74"/>
      <c r="D287" s="74"/>
    </row>
    <row r="288" spans="1:4" ht="15" customHeight="1" thickBot="1" x14ac:dyDescent="0.35">
      <c r="A288" s="74"/>
      <c r="B288" s="74"/>
      <c r="C288" s="74"/>
      <c r="D288" s="74"/>
    </row>
    <row r="289" spans="1:4" ht="15" customHeight="1" thickBot="1" x14ac:dyDescent="0.35">
      <c r="A289" s="74"/>
      <c r="B289" s="74"/>
      <c r="C289" s="74"/>
      <c r="D289" s="74"/>
    </row>
    <row r="290" spans="1:4" ht="15" customHeight="1" thickBot="1" x14ac:dyDescent="0.35">
      <c r="A290" s="74"/>
      <c r="B290" s="74"/>
      <c r="C290" s="74"/>
      <c r="D290" s="74"/>
    </row>
    <row r="291" spans="1:4" ht="15" customHeight="1" thickBot="1" x14ac:dyDescent="0.35">
      <c r="A291" s="74"/>
      <c r="B291" s="74"/>
      <c r="C291" s="74"/>
      <c r="D291" s="74"/>
    </row>
    <row r="292" spans="1:4" ht="15" customHeight="1" thickBot="1" x14ac:dyDescent="0.35">
      <c r="A292" s="74"/>
      <c r="B292" s="74"/>
      <c r="C292" s="74"/>
      <c r="D292" s="74"/>
    </row>
    <row r="293" spans="1:4" ht="15" customHeight="1" thickBot="1" x14ac:dyDescent="0.35">
      <c r="A293" s="74"/>
      <c r="B293" s="74"/>
      <c r="C293" s="74"/>
      <c r="D293" s="74"/>
    </row>
    <row r="294" spans="1:4" ht="15" customHeight="1" thickBot="1" x14ac:dyDescent="0.35">
      <c r="A294" s="74"/>
      <c r="B294" s="74"/>
      <c r="C294" s="74"/>
      <c r="D294" s="74"/>
    </row>
    <row r="295" spans="1:4" ht="15" customHeight="1" thickBot="1" x14ac:dyDescent="0.35">
      <c r="A295" s="74"/>
      <c r="B295" s="74"/>
      <c r="C295" s="74"/>
      <c r="D295" s="74"/>
    </row>
    <row r="296" spans="1:4" ht="15" customHeight="1" thickBot="1" x14ac:dyDescent="0.35">
      <c r="A296" s="74"/>
      <c r="B296" s="74"/>
      <c r="C296" s="74"/>
      <c r="D296" s="74"/>
    </row>
    <row r="297" spans="1:4" ht="15" customHeight="1" thickBot="1" x14ac:dyDescent="0.35">
      <c r="A297" s="74"/>
      <c r="B297" s="74"/>
      <c r="C297" s="74"/>
      <c r="D297" s="74"/>
    </row>
    <row r="298" spans="1:4" ht="15" customHeight="1" thickBot="1" x14ac:dyDescent="0.35">
      <c r="A298" s="74"/>
      <c r="B298" s="74"/>
      <c r="C298" s="74"/>
      <c r="D298" s="74"/>
    </row>
    <row r="299" spans="1:4" ht="15" customHeight="1" thickBot="1" x14ac:dyDescent="0.35">
      <c r="A299" s="74"/>
      <c r="B299" s="74"/>
      <c r="C299" s="74"/>
      <c r="D299" s="74"/>
    </row>
    <row r="300" spans="1:4" ht="15" customHeight="1" thickBot="1" x14ac:dyDescent="0.35">
      <c r="A300" s="74"/>
      <c r="B300" s="74"/>
      <c r="C300" s="74"/>
      <c r="D300" s="74"/>
    </row>
    <row r="301" spans="1:4" ht="15" customHeight="1" thickBot="1" x14ac:dyDescent="0.35">
      <c r="A301" s="74"/>
      <c r="B301" s="74"/>
      <c r="C301" s="74"/>
      <c r="D301" s="74"/>
    </row>
    <row r="302" spans="1:4" ht="15" customHeight="1" thickBot="1" x14ac:dyDescent="0.35">
      <c r="A302" s="74"/>
      <c r="B302" s="74"/>
      <c r="C302" s="74"/>
      <c r="D302" s="74"/>
    </row>
    <row r="303" spans="1:4" ht="15" customHeight="1" thickBot="1" x14ac:dyDescent="0.35">
      <c r="A303" s="74"/>
      <c r="B303" s="74"/>
      <c r="C303" s="74"/>
      <c r="D303" s="74"/>
    </row>
    <row r="304" spans="1:4" ht="15" customHeight="1" thickBot="1" x14ac:dyDescent="0.35">
      <c r="A304" s="74"/>
      <c r="B304" s="74"/>
      <c r="C304" s="74"/>
      <c r="D304" s="74"/>
    </row>
    <row r="305" spans="1:4" ht="15" customHeight="1" thickBot="1" x14ac:dyDescent="0.35">
      <c r="A305" s="74"/>
      <c r="B305" s="74"/>
      <c r="C305" s="74"/>
      <c r="D305" s="74"/>
    </row>
    <row r="306" spans="1:4" ht="15" customHeight="1" thickBot="1" x14ac:dyDescent="0.35">
      <c r="A306" s="74"/>
      <c r="B306" s="74"/>
      <c r="C306" s="74"/>
      <c r="D306" s="74"/>
    </row>
    <row r="307" spans="1:4" ht="15" customHeight="1" thickBot="1" x14ac:dyDescent="0.35">
      <c r="A307" s="74"/>
      <c r="B307" s="74"/>
      <c r="C307" s="74"/>
      <c r="D307" s="74"/>
    </row>
    <row r="308" spans="1:4" ht="15" customHeight="1" thickBot="1" x14ac:dyDescent="0.35">
      <c r="A308" s="74"/>
      <c r="B308" s="74"/>
      <c r="C308" s="74"/>
      <c r="D308" s="74"/>
    </row>
    <row r="309" spans="1:4" ht="15" customHeight="1" thickBot="1" x14ac:dyDescent="0.35">
      <c r="A309" s="74"/>
      <c r="B309" s="74"/>
      <c r="C309" s="74"/>
      <c r="D309" s="74"/>
    </row>
    <row r="310" spans="1:4" ht="15" customHeight="1" thickBot="1" x14ac:dyDescent="0.35">
      <c r="A310" s="74"/>
      <c r="B310" s="74"/>
      <c r="C310" s="74"/>
      <c r="D310" s="74"/>
    </row>
    <row r="311" spans="1:4" ht="15" customHeight="1" thickBot="1" x14ac:dyDescent="0.35">
      <c r="A311" s="74"/>
      <c r="B311" s="74"/>
      <c r="C311" s="74"/>
      <c r="D311" s="74"/>
    </row>
    <row r="312" spans="1:4" ht="15" customHeight="1" thickBot="1" x14ac:dyDescent="0.35">
      <c r="A312" s="74"/>
      <c r="B312" s="74"/>
      <c r="C312" s="74"/>
      <c r="D312" s="74"/>
    </row>
    <row r="313" spans="1:4" ht="15" customHeight="1" thickBot="1" x14ac:dyDescent="0.35">
      <c r="A313" s="74"/>
      <c r="B313" s="74"/>
      <c r="C313" s="74"/>
      <c r="D313" s="74"/>
    </row>
    <row r="314" spans="1:4" ht="15" customHeight="1" thickBot="1" x14ac:dyDescent="0.35">
      <c r="A314" s="74"/>
      <c r="B314" s="74"/>
      <c r="C314" s="74"/>
      <c r="D314" s="74"/>
    </row>
    <row r="315" spans="1:4" ht="15" customHeight="1" thickBot="1" x14ac:dyDescent="0.35">
      <c r="A315" s="74"/>
      <c r="B315" s="74"/>
      <c r="C315" s="74"/>
      <c r="D315" s="74"/>
    </row>
    <row r="316" spans="1:4" ht="15" customHeight="1" thickBot="1" x14ac:dyDescent="0.35">
      <c r="A316" s="74"/>
      <c r="B316" s="74"/>
      <c r="C316" s="74"/>
      <c r="D316" s="74"/>
    </row>
    <row r="317" spans="1:4" ht="15" customHeight="1" thickBot="1" x14ac:dyDescent="0.35">
      <c r="A317" s="74"/>
      <c r="B317" s="74"/>
      <c r="C317" s="74"/>
      <c r="D317" s="74"/>
    </row>
    <row r="318" spans="1:4" ht="15" customHeight="1" thickBot="1" x14ac:dyDescent="0.35">
      <c r="A318" s="74"/>
      <c r="B318" s="74"/>
      <c r="C318" s="74"/>
      <c r="D318" s="74"/>
    </row>
    <row r="319" spans="1:4" ht="15" customHeight="1" thickBot="1" x14ac:dyDescent="0.35">
      <c r="A319" s="74"/>
      <c r="B319" s="74"/>
      <c r="C319" s="74"/>
      <c r="D319" s="74"/>
    </row>
    <row r="320" spans="1:4" ht="15" customHeight="1" thickBot="1" x14ac:dyDescent="0.35">
      <c r="A320" s="74"/>
      <c r="B320" s="74"/>
      <c r="C320" s="74"/>
      <c r="D320" s="74"/>
    </row>
    <row r="321" spans="1:4" ht="15" customHeight="1" thickBot="1" x14ac:dyDescent="0.35">
      <c r="A321" s="74"/>
      <c r="B321" s="74"/>
      <c r="C321" s="74"/>
      <c r="D321" s="74"/>
    </row>
    <row r="322" spans="1:4" ht="15" customHeight="1" thickBot="1" x14ac:dyDescent="0.35">
      <c r="A322" s="74"/>
      <c r="B322" s="74"/>
      <c r="C322" s="74"/>
      <c r="D322" s="74"/>
    </row>
    <row r="323" spans="1:4" ht="15" customHeight="1" thickBot="1" x14ac:dyDescent="0.35">
      <c r="A323" s="74"/>
      <c r="B323" s="74"/>
      <c r="C323" s="74"/>
      <c r="D323" s="74"/>
    </row>
    <row r="324" spans="1:4" ht="15" customHeight="1" thickBot="1" x14ac:dyDescent="0.35">
      <c r="A324" s="74"/>
      <c r="B324" s="74"/>
      <c r="C324" s="74"/>
      <c r="D324" s="74"/>
    </row>
    <row r="325" spans="1:4" ht="15" customHeight="1" thickBot="1" x14ac:dyDescent="0.35">
      <c r="A325" s="74"/>
      <c r="B325" s="74"/>
      <c r="C325" s="74"/>
      <c r="D325" s="74"/>
    </row>
    <row r="326" spans="1:4" ht="15" customHeight="1" thickBot="1" x14ac:dyDescent="0.35">
      <c r="A326" s="74"/>
      <c r="B326" s="74"/>
      <c r="C326" s="74"/>
      <c r="D326" s="74"/>
    </row>
    <row r="327" spans="1:4" ht="15" customHeight="1" thickBot="1" x14ac:dyDescent="0.35">
      <c r="A327" s="74"/>
      <c r="B327" s="74"/>
      <c r="C327" s="74"/>
      <c r="D327" s="74"/>
    </row>
    <row r="328" spans="1:4" ht="15" customHeight="1" thickBot="1" x14ac:dyDescent="0.35">
      <c r="A328" s="74"/>
      <c r="B328" s="74"/>
      <c r="C328" s="74"/>
      <c r="D328" s="74"/>
    </row>
    <row r="329" spans="1:4" ht="15" customHeight="1" thickBot="1" x14ac:dyDescent="0.35">
      <c r="A329" s="74"/>
      <c r="B329" s="74"/>
      <c r="C329" s="74"/>
      <c r="D329" s="74"/>
    </row>
    <row r="330" spans="1:4" ht="15" customHeight="1" thickBot="1" x14ac:dyDescent="0.35">
      <c r="A330" s="74"/>
      <c r="B330" s="74"/>
      <c r="C330" s="74"/>
      <c r="D330" s="74"/>
    </row>
    <row r="331" spans="1:4" ht="15" customHeight="1" thickBot="1" x14ac:dyDescent="0.35">
      <c r="A331" s="74"/>
      <c r="B331" s="74"/>
      <c r="C331" s="74"/>
      <c r="D331" s="74"/>
    </row>
    <row r="332" spans="1:4" ht="15" customHeight="1" thickBot="1" x14ac:dyDescent="0.35">
      <c r="A332" s="74"/>
      <c r="B332" s="74"/>
      <c r="C332" s="74"/>
      <c r="D332" s="74"/>
    </row>
    <row r="333" spans="1:4" ht="15" customHeight="1" thickBot="1" x14ac:dyDescent="0.35">
      <c r="A333" s="74"/>
      <c r="B333" s="74"/>
      <c r="C333" s="74"/>
      <c r="D333" s="74"/>
    </row>
    <row r="334" spans="1:4" ht="15" customHeight="1" thickBot="1" x14ac:dyDescent="0.35">
      <c r="A334" s="74"/>
      <c r="B334" s="74"/>
      <c r="C334" s="74"/>
      <c r="D334" s="74"/>
    </row>
    <row r="335" spans="1:4" ht="15" customHeight="1" thickBot="1" x14ac:dyDescent="0.35">
      <c r="A335" s="74"/>
      <c r="B335" s="74"/>
      <c r="C335" s="74"/>
      <c r="D335" s="74"/>
    </row>
    <row r="336" spans="1:4" ht="15" customHeight="1" thickBot="1" x14ac:dyDescent="0.35">
      <c r="A336" s="74"/>
      <c r="B336" s="74"/>
      <c r="C336" s="74"/>
      <c r="D336" s="74"/>
    </row>
    <row r="337" spans="1:4" ht="15" customHeight="1" thickBot="1" x14ac:dyDescent="0.35">
      <c r="A337" s="74"/>
      <c r="B337" s="74"/>
      <c r="C337" s="74"/>
      <c r="D337" s="74"/>
    </row>
    <row r="338" spans="1:4" ht="15" customHeight="1" thickBot="1" x14ac:dyDescent="0.35">
      <c r="A338" s="74"/>
      <c r="B338" s="74"/>
      <c r="C338" s="74"/>
      <c r="D338" s="74"/>
    </row>
    <row r="339" spans="1:4" ht="15" customHeight="1" thickBot="1" x14ac:dyDescent="0.35">
      <c r="A339" s="74"/>
      <c r="B339" s="74"/>
      <c r="C339" s="74"/>
      <c r="D339" s="74"/>
    </row>
    <row r="340" spans="1:4" ht="15" customHeight="1" thickBot="1" x14ac:dyDescent="0.35">
      <c r="A340" s="74"/>
      <c r="B340" s="74"/>
      <c r="C340" s="74"/>
      <c r="D340" s="74"/>
    </row>
    <row r="341" spans="1:4" ht="15" customHeight="1" thickBot="1" x14ac:dyDescent="0.35">
      <c r="A341" s="74"/>
      <c r="B341" s="74"/>
      <c r="C341" s="74"/>
      <c r="D341" s="74"/>
    </row>
    <row r="342" spans="1:4" ht="15" customHeight="1" thickBot="1" x14ac:dyDescent="0.35">
      <c r="A342" s="74"/>
      <c r="B342" s="74"/>
      <c r="C342" s="74"/>
      <c r="D342" s="74"/>
    </row>
    <row r="343" spans="1:4" ht="15" customHeight="1" thickBot="1" x14ac:dyDescent="0.35">
      <c r="A343" s="74"/>
      <c r="B343" s="74"/>
      <c r="C343" s="74"/>
      <c r="D343" s="74"/>
    </row>
    <row r="344" spans="1:4" ht="15" customHeight="1" thickBot="1" x14ac:dyDescent="0.35">
      <c r="A344" s="74"/>
      <c r="B344" s="74"/>
      <c r="C344" s="74"/>
      <c r="D344" s="74"/>
    </row>
    <row r="345" spans="1:4" ht="15" customHeight="1" thickBot="1" x14ac:dyDescent="0.35">
      <c r="A345" s="74"/>
      <c r="B345" s="74"/>
      <c r="C345" s="74"/>
      <c r="D345" s="74"/>
    </row>
    <row r="346" spans="1:4" ht="15" customHeight="1" thickBot="1" x14ac:dyDescent="0.35">
      <c r="A346" s="74"/>
      <c r="B346" s="74"/>
      <c r="C346" s="74"/>
      <c r="D346" s="74"/>
    </row>
    <row r="347" spans="1:4" ht="15" customHeight="1" thickBot="1" x14ac:dyDescent="0.35">
      <c r="A347" s="74"/>
      <c r="B347" s="74"/>
      <c r="C347" s="74"/>
      <c r="D347" s="74"/>
    </row>
    <row r="348" spans="1:4" ht="15" customHeight="1" thickBot="1" x14ac:dyDescent="0.35">
      <c r="A348" s="74"/>
      <c r="B348" s="74"/>
      <c r="C348" s="74"/>
      <c r="D348" s="74"/>
    </row>
    <row r="349" spans="1:4" ht="15" customHeight="1" thickBot="1" x14ac:dyDescent="0.35">
      <c r="A349" s="74"/>
      <c r="B349" s="74"/>
      <c r="C349" s="74"/>
      <c r="D349" s="74"/>
    </row>
    <row r="350" spans="1:4" ht="15" customHeight="1" thickBot="1" x14ac:dyDescent="0.35">
      <c r="A350" s="74"/>
      <c r="B350" s="74"/>
      <c r="C350" s="74"/>
      <c r="D350" s="74"/>
    </row>
    <row r="351" spans="1:4" ht="15" customHeight="1" thickBot="1" x14ac:dyDescent="0.35">
      <c r="A351" s="74"/>
      <c r="B351" s="74"/>
      <c r="C351" s="74"/>
      <c r="D351" s="74"/>
    </row>
    <row r="352" spans="1:4" ht="15" customHeight="1" thickBot="1" x14ac:dyDescent="0.35">
      <c r="A352" s="74"/>
      <c r="B352" s="74"/>
      <c r="C352" s="74"/>
      <c r="D352" s="74"/>
    </row>
    <row r="353" spans="1:4" ht="15" customHeight="1" thickBot="1" x14ac:dyDescent="0.35">
      <c r="A353" s="74"/>
      <c r="B353" s="74"/>
      <c r="C353" s="74"/>
      <c r="D353" s="74"/>
    </row>
    <row r="354" spans="1:4" ht="15" customHeight="1" thickBot="1" x14ac:dyDescent="0.35">
      <c r="A354" s="74"/>
      <c r="B354" s="74"/>
      <c r="C354" s="74"/>
      <c r="D354" s="74"/>
    </row>
    <row r="355" spans="1:4" ht="15" customHeight="1" thickBot="1" x14ac:dyDescent="0.35">
      <c r="A355" s="74"/>
      <c r="B355" s="74"/>
      <c r="C355" s="74"/>
      <c r="D355" s="74"/>
    </row>
    <row r="356" spans="1:4" ht="15" customHeight="1" thickBot="1" x14ac:dyDescent="0.35">
      <c r="A356" s="74"/>
      <c r="B356" s="74"/>
      <c r="C356" s="74"/>
      <c r="D356" s="74"/>
    </row>
    <row r="357" spans="1:4" ht="15" customHeight="1" thickBot="1" x14ac:dyDescent="0.35">
      <c r="A357" s="74"/>
      <c r="B357" s="74"/>
      <c r="C357" s="74"/>
      <c r="D357" s="74"/>
    </row>
    <row r="358" spans="1:4" ht="15" customHeight="1" thickBot="1" x14ac:dyDescent="0.35">
      <c r="A358" s="74"/>
      <c r="B358" s="74"/>
      <c r="C358" s="74"/>
      <c r="D358" s="74"/>
    </row>
    <row r="359" spans="1:4" ht="15" customHeight="1" thickBot="1" x14ac:dyDescent="0.35">
      <c r="A359" s="74"/>
      <c r="B359" s="74"/>
      <c r="C359" s="74"/>
      <c r="D359" s="74"/>
    </row>
    <row r="360" spans="1:4" ht="15" customHeight="1" thickBot="1" x14ac:dyDescent="0.35">
      <c r="A360" s="74"/>
      <c r="B360" s="74"/>
      <c r="C360" s="74"/>
      <c r="D360" s="74"/>
    </row>
    <row r="361" spans="1:4" ht="15" customHeight="1" thickBot="1" x14ac:dyDescent="0.35">
      <c r="A361" s="74"/>
      <c r="B361" s="74"/>
      <c r="C361" s="74"/>
      <c r="D361" s="74"/>
    </row>
    <row r="362" spans="1:4" ht="15" customHeight="1" thickBot="1" x14ac:dyDescent="0.35">
      <c r="A362" s="74"/>
      <c r="B362" s="74"/>
      <c r="C362" s="74"/>
      <c r="D362" s="74"/>
    </row>
    <row r="363" spans="1:4" ht="15" customHeight="1" thickBot="1" x14ac:dyDescent="0.35">
      <c r="A363" s="74"/>
      <c r="B363" s="74"/>
      <c r="C363" s="74"/>
      <c r="D363" s="74"/>
    </row>
    <row r="364" spans="1:4" ht="15" customHeight="1" thickBot="1" x14ac:dyDescent="0.35">
      <c r="A364" s="74"/>
      <c r="B364" s="74"/>
      <c r="C364" s="74"/>
      <c r="D364" s="74"/>
    </row>
    <row r="365" spans="1:4" ht="15" customHeight="1" thickBot="1" x14ac:dyDescent="0.35">
      <c r="A365" s="74"/>
      <c r="B365" s="74"/>
      <c r="C365" s="74"/>
      <c r="D365" s="74"/>
    </row>
    <row r="366" spans="1:4" ht="15" customHeight="1" thickBot="1" x14ac:dyDescent="0.35">
      <c r="A366" s="74"/>
      <c r="B366" s="74"/>
      <c r="C366" s="74"/>
      <c r="D366" s="74"/>
    </row>
    <row r="367" spans="1:4" ht="15" customHeight="1" thickBot="1" x14ac:dyDescent="0.35">
      <c r="A367" s="74"/>
      <c r="B367" s="74"/>
      <c r="C367" s="74"/>
      <c r="D367" s="74"/>
    </row>
    <row r="368" spans="1:4" ht="15" customHeight="1" thickBot="1" x14ac:dyDescent="0.35">
      <c r="A368" s="74"/>
      <c r="B368" s="74"/>
      <c r="C368" s="74"/>
      <c r="D368" s="74"/>
    </row>
    <row r="369" spans="1:4" ht="15" customHeight="1" thickBot="1" x14ac:dyDescent="0.35">
      <c r="A369" s="74"/>
      <c r="B369" s="74"/>
      <c r="C369" s="74"/>
      <c r="D369" s="74"/>
    </row>
    <row r="370" spans="1:4" ht="15" customHeight="1" thickBot="1" x14ac:dyDescent="0.35">
      <c r="A370" s="74"/>
      <c r="B370" s="74"/>
      <c r="C370" s="74"/>
      <c r="D370" s="74"/>
    </row>
    <row r="371" spans="1:4" ht="15" customHeight="1" thickBot="1" x14ac:dyDescent="0.35">
      <c r="A371" s="74"/>
      <c r="B371" s="74"/>
      <c r="C371" s="74"/>
      <c r="D371" s="74"/>
    </row>
    <row r="372" spans="1:4" ht="15" customHeight="1" thickBot="1" x14ac:dyDescent="0.35">
      <c r="A372" s="74"/>
      <c r="B372" s="74"/>
      <c r="C372" s="74"/>
      <c r="D372" s="74"/>
    </row>
    <row r="373" spans="1:4" ht="15" customHeight="1" thickBot="1" x14ac:dyDescent="0.35">
      <c r="A373" s="74"/>
      <c r="B373" s="74"/>
      <c r="C373" s="74"/>
      <c r="D373" s="74"/>
    </row>
    <row r="374" spans="1:4" ht="15" customHeight="1" thickBot="1" x14ac:dyDescent="0.35">
      <c r="A374" s="74"/>
      <c r="B374" s="74"/>
      <c r="C374" s="74"/>
      <c r="D374" s="74"/>
    </row>
    <row r="375" spans="1:4" ht="15" customHeight="1" thickBot="1" x14ac:dyDescent="0.35">
      <c r="A375" s="74"/>
      <c r="B375" s="74"/>
      <c r="C375" s="74"/>
      <c r="D375" s="74"/>
    </row>
    <row r="376" spans="1:4" ht="15" customHeight="1" thickBot="1" x14ac:dyDescent="0.35">
      <c r="A376" s="74"/>
      <c r="B376" s="74"/>
      <c r="C376" s="74"/>
      <c r="D376" s="74"/>
    </row>
    <row r="377" spans="1:4" ht="15" customHeight="1" thickBot="1" x14ac:dyDescent="0.35">
      <c r="A377" s="74"/>
      <c r="B377" s="74"/>
      <c r="C377" s="74"/>
      <c r="D377" s="74"/>
    </row>
    <row r="378" spans="1:4" ht="15" customHeight="1" thickBot="1" x14ac:dyDescent="0.35">
      <c r="A378" s="74"/>
      <c r="B378" s="74"/>
      <c r="C378" s="74"/>
      <c r="D378" s="74"/>
    </row>
    <row r="379" spans="1:4" ht="15" customHeight="1" thickBot="1" x14ac:dyDescent="0.35">
      <c r="A379" s="74"/>
      <c r="B379" s="74"/>
      <c r="C379" s="74"/>
      <c r="D379" s="74"/>
    </row>
    <row r="380" spans="1:4" ht="15" customHeight="1" thickBot="1" x14ac:dyDescent="0.35">
      <c r="A380" s="74"/>
      <c r="B380" s="74"/>
      <c r="C380" s="74"/>
      <c r="D380" s="74"/>
    </row>
    <row r="381" spans="1:4" ht="15" customHeight="1" thickBot="1" x14ac:dyDescent="0.35">
      <c r="A381" s="74"/>
      <c r="B381" s="74"/>
      <c r="C381" s="74"/>
      <c r="D381" s="74"/>
    </row>
    <row r="382" spans="1:4" ht="15" customHeight="1" thickBot="1" x14ac:dyDescent="0.35">
      <c r="A382" s="74"/>
      <c r="B382" s="74"/>
      <c r="C382" s="74"/>
      <c r="D382" s="74"/>
    </row>
    <row r="383" spans="1:4" ht="15" customHeight="1" thickBot="1" x14ac:dyDescent="0.35">
      <c r="A383" s="74"/>
      <c r="B383" s="74"/>
      <c r="C383" s="74"/>
      <c r="D383" s="74"/>
    </row>
    <row r="384" spans="1:4" ht="15" customHeight="1" thickBot="1" x14ac:dyDescent="0.35">
      <c r="A384" s="74"/>
      <c r="B384" s="74"/>
      <c r="C384" s="74"/>
      <c r="D384" s="74"/>
    </row>
    <row r="385" spans="1:4" ht="15" customHeight="1" thickBot="1" x14ac:dyDescent="0.35">
      <c r="A385" s="74"/>
      <c r="B385" s="74"/>
      <c r="C385" s="74"/>
      <c r="D385" s="74"/>
    </row>
    <row r="386" spans="1:4" ht="15" customHeight="1" thickBot="1" x14ac:dyDescent="0.35">
      <c r="A386" s="74"/>
      <c r="B386" s="74"/>
      <c r="C386" s="74"/>
      <c r="D386" s="74"/>
    </row>
    <row r="387" spans="1:4" ht="15" customHeight="1" thickBot="1" x14ac:dyDescent="0.35">
      <c r="A387" s="74"/>
      <c r="B387" s="74"/>
      <c r="C387" s="74"/>
      <c r="D387" s="74"/>
    </row>
    <row r="388" spans="1:4" ht="15" customHeight="1" thickBot="1" x14ac:dyDescent="0.35">
      <c r="A388" s="74"/>
      <c r="B388" s="74"/>
      <c r="C388" s="74"/>
      <c r="D388" s="74"/>
    </row>
    <row r="389" spans="1:4" ht="15" customHeight="1" thickBot="1" x14ac:dyDescent="0.35">
      <c r="A389" s="74"/>
      <c r="B389" s="74"/>
      <c r="C389" s="74"/>
      <c r="D389" s="74"/>
    </row>
    <row r="390" spans="1:4" ht="15" customHeight="1" thickBot="1" x14ac:dyDescent="0.35">
      <c r="A390" s="74"/>
      <c r="B390" s="74"/>
      <c r="C390" s="74"/>
      <c r="D390" s="74"/>
    </row>
    <row r="391" spans="1:4" ht="15" customHeight="1" thickBot="1" x14ac:dyDescent="0.35">
      <c r="A391" s="74"/>
      <c r="B391" s="74"/>
      <c r="C391" s="74"/>
      <c r="D391" s="74"/>
    </row>
    <row r="392" spans="1:4" ht="15" customHeight="1" thickBot="1" x14ac:dyDescent="0.35">
      <c r="A392" s="74"/>
      <c r="B392" s="74"/>
      <c r="C392" s="74"/>
      <c r="D392" s="74"/>
    </row>
    <row r="393" spans="1:4" ht="15" customHeight="1" thickBot="1" x14ac:dyDescent="0.35">
      <c r="A393" s="74"/>
      <c r="B393" s="74"/>
      <c r="C393" s="74"/>
      <c r="D393" s="74"/>
    </row>
    <row r="394" spans="1:4" ht="15" customHeight="1" thickBot="1" x14ac:dyDescent="0.35">
      <c r="A394" s="74"/>
      <c r="B394" s="74"/>
      <c r="C394" s="74"/>
      <c r="D394" s="74"/>
    </row>
    <row r="395" spans="1:4" ht="15" customHeight="1" thickBot="1" x14ac:dyDescent="0.35">
      <c r="A395" s="74"/>
      <c r="B395" s="74"/>
      <c r="C395" s="74"/>
      <c r="D395" s="74"/>
    </row>
    <row r="396" spans="1:4" ht="15" customHeight="1" thickBot="1" x14ac:dyDescent="0.35">
      <c r="A396" s="74"/>
      <c r="B396" s="74"/>
      <c r="C396" s="74"/>
      <c r="D396" s="74"/>
    </row>
    <row r="397" spans="1:4" ht="15" customHeight="1" thickBot="1" x14ac:dyDescent="0.35">
      <c r="A397" s="74"/>
      <c r="B397" s="74"/>
      <c r="C397" s="74"/>
      <c r="D397" s="74"/>
    </row>
    <row r="398" spans="1:4" ht="15" customHeight="1" thickBot="1" x14ac:dyDescent="0.35">
      <c r="A398" s="74"/>
      <c r="B398" s="74"/>
      <c r="C398" s="74"/>
      <c r="D398" s="74"/>
    </row>
    <row r="399" spans="1:4" ht="15" customHeight="1" thickBot="1" x14ac:dyDescent="0.35">
      <c r="A399" s="74"/>
      <c r="B399" s="74"/>
      <c r="C399" s="74"/>
      <c r="D399" s="74"/>
    </row>
    <row r="400" spans="1:4" ht="15" customHeight="1" thickBot="1" x14ac:dyDescent="0.35">
      <c r="A400" s="74"/>
      <c r="B400" s="74"/>
      <c r="C400" s="74"/>
      <c r="D400" s="74"/>
    </row>
    <row r="401" spans="1:4" ht="15" customHeight="1" thickBot="1" x14ac:dyDescent="0.35">
      <c r="A401" s="74"/>
      <c r="B401" s="74"/>
      <c r="C401" s="74"/>
      <c r="D401" s="74"/>
    </row>
    <row r="402" spans="1:4" ht="15" customHeight="1" thickBot="1" x14ac:dyDescent="0.35">
      <c r="A402" s="74"/>
      <c r="B402" s="74"/>
      <c r="C402" s="74"/>
      <c r="D402" s="74"/>
    </row>
    <row r="403" spans="1:4" ht="15" customHeight="1" thickBot="1" x14ac:dyDescent="0.35">
      <c r="A403" s="74"/>
      <c r="B403" s="74"/>
      <c r="C403" s="74"/>
      <c r="D403" s="74"/>
    </row>
    <row r="404" spans="1:4" ht="15" customHeight="1" thickBot="1" x14ac:dyDescent="0.35">
      <c r="A404" s="74"/>
      <c r="B404" s="74"/>
      <c r="C404" s="74"/>
      <c r="D404" s="74"/>
    </row>
    <row r="405" spans="1:4" ht="15" customHeight="1" thickBot="1" x14ac:dyDescent="0.35">
      <c r="A405" s="74"/>
      <c r="B405" s="74"/>
      <c r="C405" s="74"/>
      <c r="D405" s="74"/>
    </row>
    <row r="406" spans="1:4" ht="15" customHeight="1" thickBot="1" x14ac:dyDescent="0.35">
      <c r="A406" s="74"/>
      <c r="B406" s="74"/>
      <c r="C406" s="74"/>
      <c r="D406" s="74"/>
    </row>
    <row r="407" spans="1:4" ht="15" customHeight="1" thickBot="1" x14ac:dyDescent="0.35">
      <c r="A407" s="74"/>
      <c r="B407" s="74"/>
      <c r="C407" s="74"/>
      <c r="D407" s="74"/>
    </row>
    <row r="408" spans="1:4" ht="15" customHeight="1" thickBot="1" x14ac:dyDescent="0.35">
      <c r="A408" s="74"/>
      <c r="B408" s="74"/>
      <c r="C408" s="74"/>
      <c r="D408" s="74"/>
    </row>
    <row r="409" spans="1:4" ht="15" customHeight="1" thickBot="1" x14ac:dyDescent="0.35">
      <c r="A409" s="74"/>
      <c r="B409" s="74"/>
      <c r="C409" s="74"/>
      <c r="D409" s="74"/>
    </row>
    <row r="410" spans="1:4" ht="15" customHeight="1" thickBot="1" x14ac:dyDescent="0.35">
      <c r="A410" s="74"/>
      <c r="B410" s="74"/>
      <c r="C410" s="74"/>
      <c r="D410" s="74"/>
    </row>
    <row r="411" spans="1:4" ht="15" customHeight="1" thickBot="1" x14ac:dyDescent="0.35">
      <c r="A411" s="74"/>
      <c r="B411" s="74"/>
      <c r="C411" s="74"/>
      <c r="D411" s="74"/>
    </row>
    <row r="412" spans="1:4" ht="15" customHeight="1" thickBot="1" x14ac:dyDescent="0.35">
      <c r="A412" s="74"/>
      <c r="B412" s="74"/>
      <c r="C412" s="74"/>
      <c r="D412" s="74"/>
    </row>
    <row r="413" spans="1:4" ht="15" customHeight="1" thickBot="1" x14ac:dyDescent="0.35">
      <c r="A413" s="74"/>
      <c r="B413" s="74"/>
      <c r="C413" s="74"/>
      <c r="D413" s="74"/>
    </row>
    <row r="414" spans="1:4" ht="15" customHeight="1" thickBot="1" x14ac:dyDescent="0.35">
      <c r="A414" s="74"/>
      <c r="B414" s="74"/>
      <c r="C414" s="74"/>
      <c r="D414" s="74"/>
    </row>
    <row r="415" spans="1:4" ht="15" customHeight="1" thickBot="1" x14ac:dyDescent="0.35">
      <c r="A415" s="74"/>
      <c r="B415" s="74"/>
      <c r="C415" s="74"/>
      <c r="D415" s="74"/>
    </row>
    <row r="416" spans="1:4" ht="15" customHeight="1" thickBot="1" x14ac:dyDescent="0.35">
      <c r="A416" s="74"/>
      <c r="B416" s="74"/>
      <c r="C416" s="74"/>
      <c r="D416" s="74"/>
    </row>
    <row r="417" spans="1:4" ht="15" customHeight="1" thickBot="1" x14ac:dyDescent="0.35">
      <c r="A417" s="74"/>
      <c r="B417" s="74"/>
      <c r="C417" s="74"/>
      <c r="D417" s="74"/>
    </row>
    <row r="418" spans="1:4" ht="15" customHeight="1" thickBot="1" x14ac:dyDescent="0.35">
      <c r="A418" s="74"/>
      <c r="B418" s="74"/>
      <c r="C418" s="74"/>
      <c r="D418" s="74"/>
    </row>
    <row r="419" spans="1:4" ht="15" customHeight="1" thickBot="1" x14ac:dyDescent="0.35">
      <c r="A419" s="74"/>
      <c r="B419" s="74"/>
      <c r="C419" s="74"/>
      <c r="D419" s="74"/>
    </row>
    <row r="420" spans="1:4" ht="15" customHeight="1" thickBot="1" x14ac:dyDescent="0.35">
      <c r="A420" s="74"/>
      <c r="B420" s="74"/>
      <c r="C420" s="74"/>
      <c r="D420" s="74"/>
    </row>
    <row r="421" spans="1:4" ht="15" customHeight="1" thickBot="1" x14ac:dyDescent="0.35">
      <c r="A421" s="74"/>
      <c r="B421" s="74"/>
      <c r="C421" s="74"/>
      <c r="D421" s="74"/>
    </row>
    <row r="422" spans="1:4" ht="15" customHeight="1" thickBot="1" x14ac:dyDescent="0.35">
      <c r="A422" s="74"/>
      <c r="B422" s="74"/>
      <c r="C422" s="74"/>
      <c r="D422" s="74"/>
    </row>
    <row r="423" spans="1:4" ht="15" customHeight="1" thickBot="1" x14ac:dyDescent="0.35">
      <c r="A423" s="74"/>
      <c r="B423" s="74"/>
      <c r="C423" s="74"/>
      <c r="D423" s="74"/>
    </row>
    <row r="424" spans="1:4" ht="15" customHeight="1" thickBot="1" x14ac:dyDescent="0.35">
      <c r="A424" s="74"/>
      <c r="B424" s="74"/>
      <c r="C424" s="74"/>
      <c r="D424" s="74"/>
    </row>
    <row r="425" spans="1:4" ht="15" customHeight="1" thickBot="1" x14ac:dyDescent="0.35">
      <c r="A425" s="74"/>
      <c r="B425" s="74"/>
      <c r="C425" s="74"/>
      <c r="D425" s="74"/>
    </row>
    <row r="426" spans="1:4" ht="15" customHeight="1" thickBot="1" x14ac:dyDescent="0.35">
      <c r="A426" s="74"/>
      <c r="B426" s="74"/>
      <c r="C426" s="74"/>
      <c r="D426" s="74"/>
    </row>
    <row r="427" spans="1:4" ht="15" customHeight="1" thickBot="1" x14ac:dyDescent="0.35">
      <c r="A427" s="74"/>
      <c r="B427" s="74"/>
      <c r="C427" s="74"/>
      <c r="D427" s="74"/>
    </row>
    <row r="428" spans="1:4" ht="15" customHeight="1" thickBot="1" x14ac:dyDescent="0.35">
      <c r="A428" s="74"/>
      <c r="B428" s="74"/>
      <c r="C428" s="74"/>
      <c r="D428" s="74"/>
    </row>
    <row r="429" spans="1:4" ht="15" customHeight="1" thickBot="1" x14ac:dyDescent="0.35">
      <c r="A429" s="74"/>
      <c r="B429" s="74"/>
      <c r="C429" s="74"/>
      <c r="D429" s="74"/>
    </row>
    <row r="430" spans="1:4" ht="15" customHeight="1" thickBot="1" x14ac:dyDescent="0.35">
      <c r="A430" s="74"/>
      <c r="B430" s="74"/>
      <c r="C430" s="74"/>
      <c r="D430" s="74"/>
    </row>
    <row r="431" spans="1:4" ht="15" customHeight="1" thickBot="1" x14ac:dyDescent="0.35">
      <c r="A431" s="74"/>
      <c r="B431" s="74"/>
      <c r="C431" s="74"/>
      <c r="D431" s="74"/>
    </row>
    <row r="432" spans="1:4" ht="15" customHeight="1" thickBot="1" x14ac:dyDescent="0.35">
      <c r="A432" s="74"/>
      <c r="B432" s="74"/>
      <c r="C432" s="74"/>
      <c r="D432" s="74"/>
    </row>
    <row r="433" spans="1:4" ht="15" customHeight="1" thickBot="1" x14ac:dyDescent="0.35">
      <c r="A433" s="74"/>
      <c r="B433" s="74"/>
      <c r="C433" s="74"/>
      <c r="D433" s="74"/>
    </row>
    <row r="434" spans="1:4" ht="15" customHeight="1" thickBot="1" x14ac:dyDescent="0.35">
      <c r="A434" s="74"/>
      <c r="B434" s="74"/>
      <c r="C434" s="74"/>
      <c r="D434" s="74"/>
    </row>
    <row r="435" spans="1:4" ht="15" customHeight="1" thickBot="1" x14ac:dyDescent="0.35">
      <c r="A435" s="74"/>
      <c r="B435" s="74"/>
      <c r="C435" s="74"/>
      <c r="D435" s="74"/>
    </row>
    <row r="436" spans="1:4" ht="15" customHeight="1" thickBot="1" x14ac:dyDescent="0.35">
      <c r="A436" s="74"/>
      <c r="B436" s="74"/>
      <c r="C436" s="74"/>
      <c r="D436" s="74"/>
    </row>
    <row r="437" spans="1:4" ht="15" customHeight="1" thickBot="1" x14ac:dyDescent="0.35">
      <c r="A437" s="74"/>
      <c r="B437" s="74"/>
      <c r="C437" s="74"/>
      <c r="D437" s="74"/>
    </row>
    <row r="438" spans="1:4" ht="15" customHeight="1" thickBot="1" x14ac:dyDescent="0.35">
      <c r="A438" s="74"/>
      <c r="B438" s="74"/>
      <c r="C438" s="74"/>
      <c r="D438" s="74"/>
    </row>
    <row r="439" spans="1:4" ht="15" customHeight="1" thickBot="1" x14ac:dyDescent="0.35">
      <c r="A439" s="74"/>
      <c r="B439" s="74"/>
      <c r="C439" s="74"/>
      <c r="D439" s="74"/>
    </row>
    <row r="440" spans="1:4" ht="15" customHeight="1" thickBot="1" x14ac:dyDescent="0.35">
      <c r="A440" s="74"/>
      <c r="B440" s="74"/>
      <c r="C440" s="74"/>
      <c r="D440" s="74"/>
    </row>
    <row r="441" spans="1:4" ht="15" customHeight="1" thickBot="1" x14ac:dyDescent="0.35">
      <c r="A441" s="74"/>
      <c r="B441" s="74"/>
      <c r="C441" s="74"/>
      <c r="D441" s="74"/>
    </row>
    <row r="442" spans="1:4" ht="15" customHeight="1" thickBot="1" x14ac:dyDescent="0.35">
      <c r="A442" s="74"/>
      <c r="B442" s="74"/>
      <c r="C442" s="74"/>
      <c r="D442" s="74"/>
    </row>
    <row r="443" spans="1:4" ht="15" customHeight="1" thickBot="1" x14ac:dyDescent="0.35">
      <c r="A443" s="74"/>
      <c r="B443" s="74"/>
      <c r="C443" s="74"/>
      <c r="D443" s="74"/>
    </row>
    <row r="444" spans="1:4" ht="15" customHeight="1" thickBot="1" x14ac:dyDescent="0.35">
      <c r="A444" s="74"/>
      <c r="B444" s="74"/>
      <c r="C444" s="74"/>
      <c r="D444" s="74"/>
    </row>
    <row r="445" spans="1:4" ht="15" customHeight="1" thickBot="1" x14ac:dyDescent="0.35">
      <c r="A445" s="74"/>
      <c r="B445" s="74"/>
      <c r="C445" s="74"/>
      <c r="D445" s="74"/>
    </row>
    <row r="446" spans="1:4" ht="15" customHeight="1" thickBot="1" x14ac:dyDescent="0.35">
      <c r="A446" s="74"/>
      <c r="B446" s="74"/>
      <c r="C446" s="74"/>
      <c r="D446" s="74"/>
    </row>
    <row r="447" spans="1:4" ht="15" customHeight="1" thickBot="1" x14ac:dyDescent="0.35">
      <c r="A447" s="74"/>
      <c r="B447" s="74"/>
      <c r="C447" s="74"/>
      <c r="D447" s="74"/>
    </row>
    <row r="448" spans="1:4" ht="15" customHeight="1" thickBot="1" x14ac:dyDescent="0.35">
      <c r="A448" s="74"/>
      <c r="B448" s="74"/>
      <c r="C448" s="74"/>
      <c r="D448" s="74"/>
    </row>
    <row r="449" spans="1:4" ht="15" customHeight="1" thickBot="1" x14ac:dyDescent="0.35">
      <c r="A449" s="74"/>
      <c r="B449" s="74"/>
      <c r="C449" s="74"/>
      <c r="D449" s="74"/>
    </row>
    <row r="450" spans="1:4" ht="15" customHeight="1" thickBot="1" x14ac:dyDescent="0.35">
      <c r="A450" s="74"/>
      <c r="B450" s="74"/>
      <c r="C450" s="74"/>
      <c r="D450" s="74"/>
    </row>
    <row r="451" spans="1:4" ht="15" customHeight="1" thickBot="1" x14ac:dyDescent="0.35">
      <c r="A451" s="74"/>
      <c r="B451" s="74"/>
      <c r="C451" s="74"/>
      <c r="D451" s="74"/>
    </row>
    <row r="452" spans="1:4" ht="15" customHeight="1" thickBot="1" x14ac:dyDescent="0.35">
      <c r="A452" s="74"/>
      <c r="B452" s="74"/>
      <c r="C452" s="74"/>
      <c r="D452" s="74"/>
    </row>
    <row r="453" spans="1:4" ht="15" customHeight="1" thickBot="1" x14ac:dyDescent="0.35">
      <c r="A453" s="74"/>
      <c r="B453" s="74"/>
      <c r="C453" s="74"/>
      <c r="D453" s="74"/>
    </row>
    <row r="454" spans="1:4" ht="15" customHeight="1" thickBot="1" x14ac:dyDescent="0.35">
      <c r="A454" s="74"/>
      <c r="B454" s="74"/>
      <c r="C454" s="74"/>
      <c r="D454" s="74"/>
    </row>
    <row r="455" spans="1:4" ht="15" customHeight="1" thickBot="1" x14ac:dyDescent="0.35">
      <c r="A455" s="74"/>
      <c r="B455" s="74"/>
      <c r="C455" s="74"/>
      <c r="D455" s="74"/>
    </row>
    <row r="456" spans="1:4" ht="15" customHeight="1" thickBot="1" x14ac:dyDescent="0.35">
      <c r="A456" s="74"/>
      <c r="B456" s="74"/>
      <c r="C456" s="74"/>
      <c r="D456" s="74"/>
    </row>
    <row r="457" spans="1:4" ht="15" customHeight="1" thickBot="1" x14ac:dyDescent="0.35">
      <c r="A457" s="74"/>
      <c r="B457" s="74"/>
      <c r="C457" s="74"/>
      <c r="D457" s="74"/>
    </row>
    <row r="458" spans="1:4" ht="15" customHeight="1" thickBot="1" x14ac:dyDescent="0.35">
      <c r="A458" s="74"/>
      <c r="B458" s="74"/>
      <c r="C458" s="74"/>
      <c r="D458" s="74"/>
    </row>
    <row r="459" spans="1:4" ht="15" customHeight="1" thickBot="1" x14ac:dyDescent="0.35">
      <c r="A459" s="74"/>
      <c r="B459" s="74"/>
      <c r="C459" s="74"/>
      <c r="D459" s="74"/>
    </row>
    <row r="460" spans="1:4" ht="15" customHeight="1" thickBot="1" x14ac:dyDescent="0.35">
      <c r="A460" s="74"/>
      <c r="B460" s="74"/>
      <c r="C460" s="74"/>
      <c r="D460" s="74"/>
    </row>
    <row r="461" spans="1:4" ht="15" customHeight="1" thickBot="1" x14ac:dyDescent="0.35">
      <c r="A461" s="74"/>
      <c r="B461" s="74"/>
      <c r="C461" s="74"/>
      <c r="D461" s="74"/>
    </row>
    <row r="462" spans="1:4" ht="15" customHeight="1" thickBot="1" x14ac:dyDescent="0.35">
      <c r="A462" s="74"/>
      <c r="B462" s="74"/>
      <c r="C462" s="74"/>
      <c r="D462" s="74"/>
    </row>
    <row r="463" spans="1:4" ht="15" customHeight="1" thickBot="1" x14ac:dyDescent="0.35">
      <c r="A463" s="74"/>
      <c r="B463" s="74"/>
      <c r="C463" s="74"/>
      <c r="D463" s="74"/>
    </row>
    <row r="464" spans="1:4" ht="15" customHeight="1" thickBot="1" x14ac:dyDescent="0.35">
      <c r="A464" s="74"/>
      <c r="B464" s="74"/>
      <c r="C464" s="74"/>
      <c r="D464" s="74"/>
    </row>
    <row r="465" spans="1:4" ht="15" customHeight="1" thickBot="1" x14ac:dyDescent="0.35">
      <c r="A465" s="74"/>
      <c r="B465" s="74"/>
      <c r="C465" s="74"/>
      <c r="D465" s="74"/>
    </row>
    <row r="466" spans="1:4" ht="15" customHeight="1" thickBot="1" x14ac:dyDescent="0.35">
      <c r="A466" s="74"/>
      <c r="B466" s="74"/>
      <c r="C466" s="74"/>
      <c r="D466" s="74"/>
    </row>
    <row r="467" spans="1:4" ht="15" customHeight="1" thickBot="1" x14ac:dyDescent="0.35">
      <c r="A467" s="74"/>
      <c r="B467" s="74"/>
      <c r="C467" s="74"/>
      <c r="D467" s="74"/>
    </row>
    <row r="468" spans="1:4" ht="15" customHeight="1" thickBot="1" x14ac:dyDescent="0.35">
      <c r="A468" s="74"/>
      <c r="B468" s="74"/>
      <c r="C468" s="74"/>
      <c r="D468" s="74"/>
    </row>
    <row r="469" spans="1:4" ht="15" customHeight="1" thickBot="1" x14ac:dyDescent="0.35">
      <c r="A469" s="74"/>
      <c r="B469" s="74"/>
      <c r="C469" s="74"/>
      <c r="D469" s="74"/>
    </row>
    <row r="470" spans="1:4" ht="15" customHeight="1" thickBot="1" x14ac:dyDescent="0.35">
      <c r="A470" s="74"/>
      <c r="B470" s="74"/>
      <c r="C470" s="74"/>
      <c r="D470" s="74"/>
    </row>
    <row r="471" spans="1:4" ht="15" customHeight="1" thickBot="1" x14ac:dyDescent="0.35">
      <c r="A471" s="74"/>
      <c r="B471" s="74"/>
      <c r="C471" s="74"/>
      <c r="D471" s="74"/>
    </row>
    <row r="472" spans="1:4" ht="15" customHeight="1" thickBot="1" x14ac:dyDescent="0.35">
      <c r="A472" s="74"/>
      <c r="B472" s="74"/>
      <c r="C472" s="74"/>
      <c r="D472" s="74"/>
    </row>
    <row r="473" spans="1:4" ht="15" customHeight="1" thickBot="1" x14ac:dyDescent="0.35">
      <c r="A473" s="74"/>
      <c r="B473" s="74"/>
      <c r="C473" s="74"/>
      <c r="D473" s="74"/>
    </row>
    <row r="474" spans="1:4" ht="15" customHeight="1" thickBot="1" x14ac:dyDescent="0.35">
      <c r="A474" s="74"/>
      <c r="B474" s="74"/>
      <c r="C474" s="74"/>
      <c r="D474" s="74"/>
    </row>
    <row r="475" spans="1:4" ht="15" customHeight="1" thickBot="1" x14ac:dyDescent="0.35">
      <c r="A475" s="74"/>
      <c r="B475" s="74"/>
      <c r="C475" s="74"/>
      <c r="D475" s="74"/>
    </row>
    <row r="476" spans="1:4" ht="15" customHeight="1" thickBot="1" x14ac:dyDescent="0.35">
      <c r="A476" s="74"/>
      <c r="B476" s="74"/>
      <c r="C476" s="74"/>
      <c r="D476" s="74"/>
    </row>
    <row r="477" spans="1:4" ht="15" customHeight="1" thickBot="1" x14ac:dyDescent="0.35">
      <c r="A477" s="74"/>
      <c r="B477" s="74"/>
      <c r="C477" s="74"/>
      <c r="D477" s="74"/>
    </row>
    <row r="478" spans="1:4" ht="15" customHeight="1" thickBot="1" x14ac:dyDescent="0.35">
      <c r="A478" s="74"/>
      <c r="B478" s="74"/>
      <c r="C478" s="74"/>
      <c r="D478" s="74"/>
    </row>
    <row r="479" spans="1:4" ht="15" customHeight="1" thickBot="1" x14ac:dyDescent="0.35">
      <c r="A479" s="74"/>
      <c r="B479" s="74"/>
      <c r="C479" s="74"/>
      <c r="D479" s="74"/>
    </row>
    <row r="480" spans="1:4" ht="15" customHeight="1" thickBot="1" x14ac:dyDescent="0.35">
      <c r="A480" s="74"/>
      <c r="B480" s="74"/>
      <c r="C480" s="74"/>
      <c r="D480" s="74"/>
    </row>
    <row r="481" spans="1:4" ht="15" customHeight="1" thickBot="1" x14ac:dyDescent="0.35">
      <c r="A481" s="74"/>
      <c r="B481" s="74"/>
      <c r="C481" s="74"/>
      <c r="D481" s="74"/>
    </row>
    <row r="482" spans="1:4" ht="15" customHeight="1" thickBot="1" x14ac:dyDescent="0.35">
      <c r="A482" s="74"/>
      <c r="B482" s="74"/>
      <c r="C482" s="74"/>
      <c r="D482" s="74"/>
    </row>
    <row r="483" spans="1:4" ht="15" customHeight="1" thickBot="1" x14ac:dyDescent="0.35">
      <c r="A483" s="74"/>
      <c r="B483" s="74"/>
      <c r="C483" s="74"/>
      <c r="D483" s="74"/>
    </row>
    <row r="484" spans="1:4" ht="15" customHeight="1" thickBot="1" x14ac:dyDescent="0.35">
      <c r="A484" s="74"/>
      <c r="B484" s="74"/>
      <c r="C484" s="74"/>
      <c r="D484" s="74"/>
    </row>
    <row r="485" spans="1:4" ht="15" customHeight="1" thickBot="1" x14ac:dyDescent="0.35">
      <c r="A485" s="74"/>
      <c r="B485" s="74"/>
      <c r="C485" s="74"/>
      <c r="D485" s="74"/>
    </row>
    <row r="486" spans="1:4" ht="15" customHeight="1" thickBot="1" x14ac:dyDescent="0.35">
      <c r="A486" s="74"/>
      <c r="B486" s="74"/>
      <c r="C486" s="74"/>
      <c r="D486" s="74"/>
    </row>
    <row r="487" spans="1:4" ht="15" customHeight="1" thickBot="1" x14ac:dyDescent="0.35">
      <c r="A487" s="74"/>
      <c r="B487" s="74"/>
      <c r="C487" s="74"/>
      <c r="D487" s="74"/>
    </row>
    <row r="488" spans="1:4" ht="15" customHeight="1" thickBot="1" x14ac:dyDescent="0.35">
      <c r="A488" s="74"/>
      <c r="B488" s="74"/>
      <c r="C488" s="74"/>
      <c r="D488" s="74"/>
    </row>
    <row r="489" spans="1:4" ht="15" customHeight="1" thickBot="1" x14ac:dyDescent="0.35">
      <c r="A489" s="74"/>
      <c r="B489" s="74"/>
      <c r="C489" s="74"/>
      <c r="D489" s="74"/>
    </row>
    <row r="490" spans="1:4" ht="15" customHeight="1" thickBot="1" x14ac:dyDescent="0.35">
      <c r="A490" s="74"/>
      <c r="B490" s="74"/>
      <c r="C490" s="74"/>
      <c r="D490" s="74"/>
    </row>
    <row r="491" spans="1:4" ht="15" customHeight="1" thickBot="1" x14ac:dyDescent="0.35">
      <c r="A491" s="74"/>
      <c r="B491" s="74"/>
      <c r="C491" s="74"/>
      <c r="D491" s="74"/>
    </row>
    <row r="492" spans="1:4" ht="15" customHeight="1" thickBot="1" x14ac:dyDescent="0.35">
      <c r="A492" s="74"/>
      <c r="B492" s="74"/>
      <c r="C492" s="74"/>
      <c r="D492" s="74"/>
    </row>
    <row r="493" spans="1:4" ht="15" customHeight="1" thickBot="1" x14ac:dyDescent="0.35">
      <c r="A493" s="74"/>
      <c r="B493" s="74"/>
      <c r="C493" s="74"/>
      <c r="D493" s="74"/>
    </row>
    <row r="494" spans="1:4" ht="15" customHeight="1" thickBot="1" x14ac:dyDescent="0.35">
      <c r="A494" s="74"/>
      <c r="B494" s="74"/>
      <c r="C494" s="74"/>
      <c r="D494" s="74"/>
    </row>
    <row r="495" spans="1:4" ht="15" customHeight="1" thickBot="1" x14ac:dyDescent="0.35">
      <c r="A495" s="74"/>
      <c r="B495" s="74"/>
      <c r="C495" s="74"/>
      <c r="D495" s="74"/>
    </row>
    <row r="496" spans="1:4" ht="15" customHeight="1" thickBot="1" x14ac:dyDescent="0.35">
      <c r="A496" s="74"/>
      <c r="B496" s="74"/>
      <c r="C496" s="74"/>
      <c r="D496" s="74"/>
    </row>
    <row r="497" spans="1:4" ht="15" customHeight="1" thickBot="1" x14ac:dyDescent="0.35">
      <c r="A497" s="74"/>
      <c r="B497" s="74"/>
      <c r="C497" s="74"/>
      <c r="D497" s="74"/>
    </row>
    <row r="498" spans="1:4" ht="15" customHeight="1" thickBot="1" x14ac:dyDescent="0.35">
      <c r="A498" s="74"/>
      <c r="B498" s="74"/>
      <c r="C498" s="74"/>
      <c r="D498" s="74"/>
    </row>
    <row r="499" spans="1:4" ht="15" customHeight="1" thickBot="1" x14ac:dyDescent="0.35">
      <c r="A499" s="74"/>
      <c r="B499" s="74"/>
      <c r="C499" s="74"/>
      <c r="D499" s="74"/>
    </row>
    <row r="500" spans="1:4" ht="15" customHeight="1" thickBot="1" x14ac:dyDescent="0.35">
      <c r="A500" s="74"/>
      <c r="B500" s="74"/>
      <c r="C500" s="74"/>
      <c r="D500" s="74"/>
    </row>
    <row r="501" spans="1:4" ht="15" customHeight="1" thickBot="1" x14ac:dyDescent="0.35">
      <c r="A501" s="74"/>
      <c r="B501" s="74"/>
      <c r="C501" s="74"/>
      <c r="D501" s="74"/>
    </row>
    <row r="502" spans="1:4" ht="15" customHeight="1" thickBot="1" x14ac:dyDescent="0.35">
      <c r="A502" s="74"/>
      <c r="B502" s="74"/>
      <c r="C502" s="74"/>
      <c r="D502" s="74"/>
    </row>
    <row r="503" spans="1:4" ht="15" customHeight="1" thickBot="1" x14ac:dyDescent="0.35">
      <c r="A503" s="74"/>
      <c r="B503" s="74"/>
      <c r="C503" s="74"/>
      <c r="D503" s="74"/>
    </row>
    <row r="504" spans="1:4" ht="15" customHeight="1" thickBot="1" x14ac:dyDescent="0.35">
      <c r="A504" s="74"/>
      <c r="B504" s="74"/>
      <c r="C504" s="74"/>
      <c r="D504" s="74"/>
    </row>
    <row r="505" spans="1:4" ht="15" customHeight="1" thickBot="1" x14ac:dyDescent="0.35">
      <c r="A505" s="74"/>
      <c r="B505" s="74"/>
      <c r="C505" s="74"/>
      <c r="D505" s="74"/>
    </row>
    <row r="506" spans="1:4" ht="15" customHeight="1" thickBot="1" x14ac:dyDescent="0.35">
      <c r="A506" s="74"/>
      <c r="B506" s="74"/>
      <c r="C506" s="74"/>
      <c r="D506" s="74"/>
    </row>
    <row r="507" spans="1:4" ht="15" customHeight="1" thickBot="1" x14ac:dyDescent="0.35">
      <c r="A507" s="74"/>
      <c r="B507" s="74"/>
      <c r="C507" s="74"/>
      <c r="D507" s="74"/>
    </row>
    <row r="508" spans="1:4" ht="15" customHeight="1" thickBot="1" x14ac:dyDescent="0.35">
      <c r="A508" s="74"/>
      <c r="B508" s="74"/>
      <c r="C508" s="74"/>
      <c r="D508" s="74"/>
    </row>
    <row r="509" spans="1:4" ht="15" customHeight="1" thickBot="1" x14ac:dyDescent="0.35">
      <c r="A509" s="74"/>
      <c r="B509" s="74"/>
      <c r="C509" s="74"/>
    </row>
    <row r="510" spans="1:4" ht="15" customHeight="1" thickBot="1" x14ac:dyDescent="0.35">
      <c r="A510" s="74"/>
      <c r="B510" s="74"/>
      <c r="C510" s="74"/>
    </row>
    <row r="511" spans="1:4" ht="15" customHeight="1" thickBot="1" x14ac:dyDescent="0.35">
      <c r="A511" s="74"/>
      <c r="B511" s="74"/>
      <c r="C511" s="74"/>
    </row>
    <row r="512" spans="1:4" ht="15" customHeight="1" thickBot="1" x14ac:dyDescent="0.35">
      <c r="A512" s="74"/>
      <c r="B512" s="74"/>
      <c r="C512" s="74"/>
    </row>
    <row r="513" spans="1:3" ht="15" customHeight="1" thickBot="1" x14ac:dyDescent="0.35">
      <c r="A513" s="74"/>
      <c r="B513" s="74"/>
      <c r="C513" s="74"/>
    </row>
    <row r="514" spans="1:3" ht="15" customHeight="1" thickBot="1" x14ac:dyDescent="0.35">
      <c r="A514" s="74"/>
      <c r="B514" s="74"/>
      <c r="C514" s="74"/>
    </row>
    <row r="515" spans="1:3" ht="15" customHeight="1" thickBot="1" x14ac:dyDescent="0.35">
      <c r="A515" s="74"/>
      <c r="B515" s="74"/>
      <c r="C515" s="74"/>
    </row>
    <row r="516" spans="1:3" ht="15" customHeight="1" thickBot="1" x14ac:dyDescent="0.35">
      <c r="A516" s="74"/>
      <c r="B516" s="74"/>
      <c r="C516" s="74"/>
    </row>
    <row r="517" spans="1:3" ht="15" customHeight="1" thickBot="1" x14ac:dyDescent="0.35">
      <c r="A517" s="74"/>
      <c r="B517" s="74"/>
      <c r="C517" s="74"/>
    </row>
    <row r="518" spans="1:3" ht="15" customHeight="1" thickBot="1" x14ac:dyDescent="0.35">
      <c r="A518" s="74"/>
      <c r="B518" s="74"/>
      <c r="C518" s="74"/>
    </row>
    <row r="519" spans="1:3" ht="15" customHeight="1" thickBot="1" x14ac:dyDescent="0.35">
      <c r="A519" s="74"/>
      <c r="B519" s="74"/>
      <c r="C519" s="74"/>
    </row>
    <row r="520" spans="1:3" ht="15" customHeight="1" thickBot="1" x14ac:dyDescent="0.35">
      <c r="A520" s="74"/>
      <c r="B520" s="74"/>
      <c r="C520" s="74"/>
    </row>
    <row r="521" spans="1:3" ht="15" customHeight="1" thickBot="1" x14ac:dyDescent="0.35">
      <c r="A521" s="74"/>
      <c r="B521" s="74"/>
      <c r="C521" s="74"/>
    </row>
    <row r="522" spans="1:3" ht="15" customHeight="1" thickBot="1" x14ac:dyDescent="0.35">
      <c r="A522" s="74"/>
      <c r="B522" s="74"/>
      <c r="C522" s="74"/>
    </row>
    <row r="523" spans="1:3" ht="15" customHeight="1" thickBot="1" x14ac:dyDescent="0.35">
      <c r="A523" s="74"/>
      <c r="B523" s="74"/>
      <c r="C523" s="74"/>
    </row>
    <row r="524" spans="1:3" ht="15" customHeight="1" thickBot="1" x14ac:dyDescent="0.35">
      <c r="A524" s="74"/>
      <c r="B524" s="74"/>
      <c r="C524" s="74"/>
    </row>
    <row r="525" spans="1:3" ht="15" customHeight="1" thickBot="1" x14ac:dyDescent="0.35">
      <c r="A525" s="74"/>
      <c r="B525" s="74"/>
      <c r="C525" s="74"/>
    </row>
    <row r="526" spans="1:3" ht="15" customHeight="1" thickBot="1" x14ac:dyDescent="0.35">
      <c r="A526" s="74"/>
      <c r="B526" s="74"/>
      <c r="C526" s="74"/>
    </row>
    <row r="527" spans="1:3" ht="15" customHeight="1" thickBot="1" x14ac:dyDescent="0.35">
      <c r="A527" s="74"/>
      <c r="B527" s="74"/>
      <c r="C527" s="74"/>
    </row>
    <row r="528" spans="1:3" ht="15" customHeight="1" thickBot="1" x14ac:dyDescent="0.35">
      <c r="A528" s="74"/>
      <c r="B528" s="74"/>
      <c r="C528" s="74"/>
    </row>
  </sheetData>
  <mergeCells count="7">
    <mergeCell ref="A2:D2"/>
    <mergeCell ref="A3:B3"/>
    <mergeCell ref="A14:D14"/>
    <mergeCell ref="A23:D23"/>
    <mergeCell ref="A20:D20"/>
    <mergeCell ref="A18:D18"/>
    <mergeCell ref="A19:D19"/>
  </mergeCells>
  <dataValidations disablePrompts="1" count="1">
    <dataValidation type="list" allowBlank="1" showInputMessage="1" showErrorMessage="1" sqref="B24:B85 B16:B18 B20 B22" xr:uid="{00000000-0002-0000-1B00-000000000000}">
      <formula1>"Done,Partial,Bug"</formula1>
    </dataValidation>
  </dataValidations>
  <pageMargins left="0.7" right="0.7" top="0.75" bottom="0.75" header="0.3" footer="0.3"/>
  <pageSetup orientation="portrait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B7"/>
  <sheetViews>
    <sheetView workbookViewId="0">
      <selection activeCell="A8" sqref="A8:XFD12"/>
    </sheetView>
  </sheetViews>
  <sheetFormatPr defaultRowHeight="14.4" x14ac:dyDescent="0.3"/>
  <sheetData>
    <row r="1" spans="1:2" x14ac:dyDescent="0.3">
      <c r="A1" t="s">
        <v>1395</v>
      </c>
      <c r="B1" t="s">
        <v>1396</v>
      </c>
    </row>
    <row r="2" spans="1:2" x14ac:dyDescent="0.3">
      <c r="A2">
        <v>1</v>
      </c>
      <c r="B2">
        <v>259</v>
      </c>
    </row>
    <row r="3" spans="1:2" x14ac:dyDescent="0.3">
      <c r="A3">
        <v>2</v>
      </c>
      <c r="B3">
        <v>1637157044</v>
      </c>
    </row>
    <row r="4" spans="1:2" x14ac:dyDescent="0.3">
      <c r="A4">
        <v>3</v>
      </c>
      <c r="B4">
        <v>1637157055</v>
      </c>
    </row>
    <row r="5" spans="1:2" x14ac:dyDescent="0.3">
      <c r="A5">
        <v>4</v>
      </c>
      <c r="B5">
        <v>1637157056</v>
      </c>
    </row>
    <row r="6" spans="1:2" x14ac:dyDescent="0.3">
      <c r="A6">
        <v>5</v>
      </c>
      <c r="B6">
        <v>1637157054</v>
      </c>
    </row>
    <row r="7" spans="1:2" x14ac:dyDescent="0.3">
      <c r="A7">
        <v>6</v>
      </c>
      <c r="B7">
        <v>1637157045</v>
      </c>
    </row>
  </sheetData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EF655-C696-4B6E-970D-792435745B68}">
  <dimension ref="A1:D2"/>
  <sheetViews>
    <sheetView tabSelected="1" workbookViewId="0">
      <selection activeCell="K16" sqref="K16"/>
    </sheetView>
  </sheetViews>
  <sheetFormatPr defaultRowHeight="14.4" x14ac:dyDescent="0.3"/>
  <cols>
    <col min="1" max="1" width="17.88671875" customWidth="1"/>
    <col min="2" max="2" width="17.5546875" customWidth="1"/>
    <col min="3" max="3" width="19.6640625" customWidth="1"/>
    <col min="4" max="4" width="21.5546875" customWidth="1"/>
  </cols>
  <sheetData>
    <row r="1" spans="1:4" x14ac:dyDescent="0.3">
      <c r="A1" s="142" t="s">
        <v>1400</v>
      </c>
      <c r="B1" s="142" t="s">
        <v>1401</v>
      </c>
      <c r="C1" s="142" t="s">
        <v>1402</v>
      </c>
      <c r="D1" s="142" t="s">
        <v>1403</v>
      </c>
    </row>
    <row r="2" spans="1:4" ht="28.8" x14ac:dyDescent="0.3">
      <c r="A2" s="101" t="s">
        <v>1404</v>
      </c>
      <c r="B2" s="101" t="s">
        <v>1405</v>
      </c>
      <c r="C2" s="22" t="s">
        <v>1406</v>
      </c>
      <c r="D2" s="22" t="s">
        <v>1407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26190390586FE458DB1AE583448DE79" ma:contentTypeVersion="13" ma:contentTypeDescription="Create a new document." ma:contentTypeScope="" ma:versionID="4cbde65c0fba80659c273c0eacff47e6">
  <xsd:schema xmlns:xsd="http://www.w3.org/2001/XMLSchema" xmlns:xs="http://www.w3.org/2001/XMLSchema" xmlns:p="http://schemas.microsoft.com/office/2006/metadata/properties" xmlns:ns2="06bb621d-2c5a-4e3a-baf5-945d7a2a180e" xmlns:ns3="524c51c9-3dfe-4400-94e9-40185f0df040" targetNamespace="http://schemas.microsoft.com/office/2006/metadata/properties" ma:root="true" ma:fieldsID="baf47cb8871eff32ad46080f5d394124" ns2:_="" ns3:_="">
    <xsd:import namespace="06bb621d-2c5a-4e3a-baf5-945d7a2a180e"/>
    <xsd:import namespace="524c51c9-3dfe-4400-94e9-40185f0df04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bb621d-2c5a-4e3a-baf5-945d7a2a18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372d48ac-9996-438d-8dcc-2abd116d7d1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4c51c9-3dfe-4400-94e9-40185f0df04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10ccf5da-7b78-446c-9e80-166c958cf64b}" ma:internalName="TaxCatchAll" ma:showField="CatchAllData" ma:web="524c51c9-3dfe-4400-94e9-40185f0df04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6D6153B-EE8E-4810-A6B5-65F50D35290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bb621d-2c5a-4e3a-baf5-945d7a2a180e"/>
    <ds:schemaRef ds:uri="524c51c9-3dfe-4400-94e9-40185f0df04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BC971A3-646B-4836-BCB5-69AE927C919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2</vt:i4>
      </vt:variant>
    </vt:vector>
  </HeadingPairs>
  <TitlesOfParts>
    <vt:vector size="32" baseType="lpstr">
      <vt:lpstr>Report_Generator</vt:lpstr>
      <vt:lpstr>Deck_lvl_db</vt:lpstr>
      <vt:lpstr>Glossary</vt:lpstr>
      <vt:lpstr>Category_lvl_db</vt:lpstr>
      <vt:lpstr>Variables</vt:lpstr>
      <vt:lpstr>Chart_config</vt:lpstr>
      <vt:lpstr>Table_config</vt:lpstr>
      <vt:lpstr>Text_shape_config</vt:lpstr>
      <vt:lpstr>Action_config</vt:lpstr>
      <vt:lpstr>Slide_clone_config</vt:lpstr>
      <vt:lpstr>Sig_test_config</vt:lpstr>
      <vt:lpstr>Sig_test_char_picker (3)</vt:lpstr>
      <vt:lpstr>Sig_test_char_picker_RTD</vt:lpstr>
      <vt:lpstr>Sig_test_char_picker</vt:lpstr>
      <vt:lpstr>Sig_merge</vt:lpstr>
      <vt:lpstr>Control Sheet</vt:lpstr>
      <vt:lpstr>Mapping_Coloring</vt:lpstr>
      <vt:lpstr>Beast_Configs</vt:lpstr>
      <vt:lpstr>Data_consol_config</vt:lpstr>
      <vt:lpstr>Map_consl_confg_cret</vt:lpstr>
      <vt:lpstr>Data_consol_Replace_Mapping</vt:lpstr>
      <vt:lpstr>PP_find_rep</vt:lpstr>
      <vt:lpstr>PP_col_split</vt:lpstr>
      <vt:lpstr>PP_add_map</vt:lpstr>
      <vt:lpstr>PP_cal_data</vt:lpstr>
      <vt:lpstr>PP_filter_data</vt:lpstr>
      <vt:lpstr>Features &amp; Bugs</vt:lpstr>
      <vt:lpstr>Configuration_guide</vt:lpstr>
      <vt:lpstr>Control Sheet_Custom</vt:lpstr>
      <vt:lpstr>Fetch_logo</vt:lpstr>
      <vt:lpstr>clone_obj_count_rng</vt:lpstr>
      <vt:lpstr>grp_agg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Vineet</dc:creator>
  <cp:lastModifiedBy>Mayank Kuthar</cp:lastModifiedBy>
  <dcterms:created xsi:type="dcterms:W3CDTF">2015-06-05T18:17:20Z</dcterms:created>
  <dcterms:modified xsi:type="dcterms:W3CDTF">2023-09-29T19:29:21Z</dcterms:modified>
</cp:coreProperties>
</file>